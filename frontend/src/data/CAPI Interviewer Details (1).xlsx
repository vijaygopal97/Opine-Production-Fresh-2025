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vrcpl-my.sharepoint.com/personal/milan_convergentview_com/Documents/Desktop/"/>
    </mc:Choice>
  </mc:AlternateContent>
  <xr:revisionPtr revIDLastSave="0" documentId="8_{014A1E4D-BCC4-4FE5-9E8E-F5F7D43606DF}" xr6:coauthVersionLast="47" xr6:coauthVersionMax="47" xr10:uidLastSave="{00000000-0000-0000-0000-000000000000}"/>
  <bookViews>
    <workbookView xWindow="-110" yWindow="-110" windowWidth="19420" windowHeight="10300" firstSheet="2" activeTab="2" xr2:uid="{EDD37D39-5C5B-43C7-9FAE-3C4114D7BD77}"/>
  </bookViews>
  <sheets>
    <sheet name="Pmt Lot-1 Int.+Sup" sheetId="6" state="hidden" r:id="rId1"/>
    <sheet name="Pmt Lot-2 Int.+Sup" sheetId="7" state="hidden" r:id="rId2"/>
    <sheet name="Interviewer" sheetId="1" r:id="rId3"/>
    <sheet name="Supervisor" sheetId="2" r:id="rId4"/>
    <sheet name="ZM" sheetId="3" r:id="rId5"/>
  </sheets>
  <externalReferences>
    <externalReference r:id="rId6"/>
  </externalReferences>
  <definedNames>
    <definedName name="_xlnm._FilterDatabase" localSheetId="2" hidden="1">Interviewer!$A$1:$W$193</definedName>
    <definedName name="_xlnm._FilterDatabase" localSheetId="0" hidden="1">'Pmt Lot-1 Int.+Sup'!$A$1:$V$79</definedName>
    <definedName name="_xlnm._FilterDatabase" localSheetId="1" hidden="1">'Pmt Lot-2 Int.+Sup'!$A$1:$U$45</definedName>
    <definedName name="_xlnm._FilterDatabase" localSheetId="3" hidden="1">Supervisor!$A$1:$T$23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7" l="1"/>
  <c r="T57" i="7"/>
  <c r="S57" i="7"/>
  <c r="R57" i="7"/>
  <c r="Q57" i="7"/>
  <c r="P57" i="7"/>
  <c r="O57" i="7"/>
  <c r="N57" i="7"/>
  <c r="Q46" i="7"/>
  <c r="O46" i="7"/>
  <c r="N46" i="7"/>
  <c r="A51" i="7"/>
  <c r="A52" i="7" s="1"/>
  <c r="A53" i="7" s="1"/>
  <c r="A54" i="7" s="1"/>
  <c r="A55" i="7" s="1"/>
  <c r="A56" i="7" s="1"/>
  <c r="A3" i="7"/>
  <c r="A4" i="7" s="1"/>
  <c r="A5" i="7" s="1"/>
  <c r="A6" i="7" s="1"/>
  <c r="A7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P45" i="7"/>
  <c r="R45" i="7" s="1"/>
  <c r="P44" i="7"/>
  <c r="R44" i="7" s="1"/>
  <c r="P43" i="7"/>
  <c r="R43" i="7" s="1"/>
  <c r="S43" i="7" s="1"/>
  <c r="P42" i="7"/>
  <c r="R42" i="7" s="1"/>
  <c r="P41" i="7"/>
  <c r="R41" i="7" s="1"/>
  <c r="P40" i="7"/>
  <c r="R40" i="7" s="1"/>
  <c r="S40" i="7" s="1"/>
  <c r="P39" i="7"/>
  <c r="R39" i="7" s="1"/>
  <c r="P38" i="7"/>
  <c r="R38" i="7" s="1"/>
  <c r="P37" i="7"/>
  <c r="R37" i="7" s="1"/>
  <c r="P36" i="7"/>
  <c r="R36" i="7" s="1"/>
  <c r="P35" i="7"/>
  <c r="R35" i="7" s="1"/>
  <c r="P34" i="7"/>
  <c r="R34" i="7" s="1"/>
  <c r="P33" i="7"/>
  <c r="R33" i="7" s="1"/>
  <c r="S33" i="7" s="1"/>
  <c r="P32" i="7"/>
  <c r="R32" i="7" s="1"/>
  <c r="P31" i="7"/>
  <c r="R31" i="7" s="1"/>
  <c r="P30" i="7"/>
  <c r="R30" i="7" s="1"/>
  <c r="S30" i="7" s="1"/>
  <c r="P29" i="7"/>
  <c r="R29" i="7" s="1"/>
  <c r="P28" i="7"/>
  <c r="R28" i="7" s="1"/>
  <c r="P27" i="7"/>
  <c r="R27" i="7" s="1"/>
  <c r="P26" i="7"/>
  <c r="R26" i="7" s="1"/>
  <c r="P25" i="7"/>
  <c r="R25" i="7" s="1"/>
  <c r="S25" i="7" s="1"/>
  <c r="P24" i="7"/>
  <c r="R24" i="7" s="1"/>
  <c r="S24" i="7" s="1"/>
  <c r="P23" i="7"/>
  <c r="R23" i="7" s="1"/>
  <c r="P22" i="7"/>
  <c r="R22" i="7" s="1"/>
  <c r="P21" i="7"/>
  <c r="R21" i="7" s="1"/>
  <c r="P20" i="7"/>
  <c r="R20" i="7" s="1"/>
  <c r="P19" i="7"/>
  <c r="R19" i="7" s="1"/>
  <c r="P18" i="7"/>
  <c r="R18" i="7" s="1"/>
  <c r="S18" i="7" s="1"/>
  <c r="P17" i="7"/>
  <c r="R17" i="7" s="1"/>
  <c r="P16" i="7"/>
  <c r="R16" i="7" s="1"/>
  <c r="S16" i="7" s="1"/>
  <c r="P15" i="7"/>
  <c r="R15" i="7" s="1"/>
  <c r="P14" i="7"/>
  <c r="R14" i="7" s="1"/>
  <c r="S14" i="7" s="1"/>
  <c r="P13" i="7"/>
  <c r="R13" i="7" s="1"/>
  <c r="S13" i="7" s="1"/>
  <c r="P12" i="7"/>
  <c r="R12" i="7" s="1"/>
  <c r="S12" i="7" s="1"/>
  <c r="P11" i="7"/>
  <c r="R11" i="7" s="1"/>
  <c r="S11" i="7" s="1"/>
  <c r="P10" i="7"/>
  <c r="R10" i="7" s="1"/>
  <c r="S10" i="7" s="1"/>
  <c r="P9" i="7"/>
  <c r="R9" i="7" s="1"/>
  <c r="P8" i="7"/>
  <c r="R8" i="7" s="1"/>
  <c r="P7" i="7"/>
  <c r="R7" i="7" s="1"/>
  <c r="P6" i="7"/>
  <c r="R6" i="7" s="1"/>
  <c r="P5" i="7"/>
  <c r="R5" i="7" s="1"/>
  <c r="P4" i="7"/>
  <c r="R4" i="7" s="1"/>
  <c r="S4" i="7" s="1"/>
  <c r="P3" i="7"/>
  <c r="R3" i="7" s="1"/>
  <c r="S3" i="7" s="1"/>
  <c r="P2" i="7"/>
  <c r="R2" i="7" s="1"/>
  <c r="S2" i="7" s="1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3" i="6"/>
  <c r="T91" i="6"/>
  <c r="S91" i="6"/>
  <c r="R91" i="6"/>
  <c r="Q91" i="6"/>
  <c r="P91" i="6"/>
  <c r="T80" i="6"/>
  <c r="S80" i="6"/>
  <c r="R80" i="6"/>
  <c r="Q80" i="6"/>
  <c r="P80" i="6"/>
  <c r="T88" i="6"/>
  <c r="S88" i="6"/>
  <c r="R88" i="6"/>
  <c r="Q88" i="6"/>
  <c r="P88" i="6"/>
  <c r="N88" i="6"/>
  <c r="A86" i="6"/>
  <c r="A87" i="6" s="1"/>
  <c r="A85" i="6"/>
  <c r="N80" i="6"/>
  <c r="P79" i="6"/>
  <c r="R79" i="6" s="1"/>
  <c r="P78" i="6"/>
  <c r="R78" i="6" s="1"/>
  <c r="S78" i="6" s="1"/>
  <c r="P77" i="6"/>
  <c r="R77" i="6" s="1"/>
  <c r="P76" i="6"/>
  <c r="R76" i="6" s="1"/>
  <c r="S76" i="6" s="1"/>
  <c r="P75" i="6"/>
  <c r="R75" i="6" s="1"/>
  <c r="P74" i="6"/>
  <c r="R74" i="6" s="1"/>
  <c r="P73" i="6"/>
  <c r="R73" i="6" s="1"/>
  <c r="S73" i="6" s="1"/>
  <c r="P72" i="6"/>
  <c r="R72" i="6" s="1"/>
  <c r="P71" i="6"/>
  <c r="R71" i="6" s="1"/>
  <c r="P70" i="6"/>
  <c r="R70" i="6" s="1"/>
  <c r="P69" i="6"/>
  <c r="R69" i="6" s="1"/>
  <c r="P68" i="6"/>
  <c r="R68" i="6" s="1"/>
  <c r="P67" i="6"/>
  <c r="R67" i="6" s="1"/>
  <c r="P66" i="6"/>
  <c r="R66" i="6" s="1"/>
  <c r="P65" i="6"/>
  <c r="R65" i="6" s="1"/>
  <c r="P64" i="6"/>
  <c r="R64" i="6" s="1"/>
  <c r="P63" i="6"/>
  <c r="R63" i="6" s="1"/>
  <c r="P62" i="6"/>
  <c r="R62" i="6" s="1"/>
  <c r="P61" i="6"/>
  <c r="R61" i="6" s="1"/>
  <c r="P60" i="6"/>
  <c r="R60" i="6" s="1"/>
  <c r="S60" i="6" s="1"/>
  <c r="P59" i="6"/>
  <c r="R59" i="6" s="1"/>
  <c r="P58" i="6"/>
  <c r="R58" i="6" s="1"/>
  <c r="P57" i="6"/>
  <c r="R57" i="6" s="1"/>
  <c r="P56" i="6"/>
  <c r="R56" i="6" s="1"/>
  <c r="S56" i="6" s="1"/>
  <c r="P55" i="6"/>
  <c r="R55" i="6" s="1"/>
  <c r="P54" i="6"/>
  <c r="R54" i="6" s="1"/>
  <c r="P53" i="6"/>
  <c r="R53" i="6" s="1"/>
  <c r="S53" i="6" s="1"/>
  <c r="P52" i="6"/>
  <c r="R52" i="6" s="1"/>
  <c r="P51" i="6"/>
  <c r="R51" i="6" s="1"/>
  <c r="P50" i="6"/>
  <c r="R50" i="6" s="1"/>
  <c r="S50" i="6" s="1"/>
  <c r="P49" i="6"/>
  <c r="R49" i="6" s="1"/>
  <c r="P48" i="6"/>
  <c r="R48" i="6" s="1"/>
  <c r="P47" i="6"/>
  <c r="R47" i="6" s="1"/>
  <c r="P46" i="6"/>
  <c r="R46" i="6" s="1"/>
  <c r="S46" i="6" s="1"/>
  <c r="P45" i="6"/>
  <c r="R45" i="6" s="1"/>
  <c r="P44" i="6"/>
  <c r="R44" i="6" s="1"/>
  <c r="P43" i="6"/>
  <c r="R43" i="6" s="1"/>
  <c r="P42" i="6"/>
  <c r="R42" i="6" s="1"/>
  <c r="S42" i="6" s="1"/>
  <c r="P41" i="6"/>
  <c r="R41" i="6" s="1"/>
  <c r="P40" i="6"/>
  <c r="R40" i="6" s="1"/>
  <c r="P39" i="6"/>
  <c r="R39" i="6" s="1"/>
  <c r="P38" i="6"/>
  <c r="R38" i="6" s="1"/>
  <c r="P37" i="6"/>
  <c r="R37" i="6" s="1"/>
  <c r="P36" i="6"/>
  <c r="R36" i="6" s="1"/>
  <c r="P35" i="6"/>
  <c r="R35" i="6" s="1"/>
  <c r="P34" i="6"/>
  <c r="R34" i="6" s="1"/>
  <c r="P33" i="6"/>
  <c r="R33" i="6" s="1"/>
  <c r="P32" i="6"/>
  <c r="R32" i="6" s="1"/>
  <c r="P31" i="6"/>
  <c r="R31" i="6" s="1"/>
  <c r="P30" i="6"/>
  <c r="R30" i="6" s="1"/>
  <c r="P29" i="6"/>
  <c r="R29" i="6" s="1"/>
  <c r="P28" i="6"/>
  <c r="R28" i="6" s="1"/>
  <c r="P27" i="6"/>
  <c r="R27" i="6" s="1"/>
  <c r="P26" i="6"/>
  <c r="R26" i="6" s="1"/>
  <c r="P25" i="6"/>
  <c r="R25" i="6" s="1"/>
  <c r="P24" i="6"/>
  <c r="R24" i="6" s="1"/>
  <c r="P23" i="6"/>
  <c r="R23" i="6" s="1"/>
  <c r="P22" i="6"/>
  <c r="R22" i="6" s="1"/>
  <c r="P21" i="6"/>
  <c r="R21" i="6" s="1"/>
  <c r="P20" i="6"/>
  <c r="R20" i="6" s="1"/>
  <c r="P19" i="6"/>
  <c r="R19" i="6" s="1"/>
  <c r="P18" i="6"/>
  <c r="R18" i="6" s="1"/>
  <c r="P17" i="6"/>
  <c r="R17" i="6" s="1"/>
  <c r="P16" i="6"/>
  <c r="R16" i="6" s="1"/>
  <c r="P15" i="6"/>
  <c r="R15" i="6" s="1"/>
  <c r="P14" i="6"/>
  <c r="R14" i="6" s="1"/>
  <c r="P13" i="6"/>
  <c r="R13" i="6" s="1"/>
  <c r="P12" i="6"/>
  <c r="R12" i="6" s="1"/>
  <c r="S12" i="6" s="1"/>
  <c r="P11" i="6"/>
  <c r="R11" i="6" s="1"/>
  <c r="P10" i="6"/>
  <c r="R10" i="6" s="1"/>
  <c r="P9" i="6"/>
  <c r="R9" i="6" s="1"/>
  <c r="P8" i="6"/>
  <c r="R8" i="6" s="1"/>
  <c r="P7" i="6"/>
  <c r="R7" i="6" s="1"/>
  <c r="P6" i="6"/>
  <c r="R6" i="6" s="1"/>
  <c r="P5" i="6"/>
  <c r="R5" i="6" s="1"/>
  <c r="P4" i="6"/>
  <c r="R4" i="6" s="1"/>
  <c r="P3" i="6"/>
  <c r="R3" i="6" s="1"/>
  <c r="P2" i="6"/>
  <c r="P46" i="7" l="1"/>
  <c r="P59" i="7" s="1"/>
  <c r="R46" i="7"/>
  <c r="R59" i="7" s="1"/>
  <c r="Q59" i="7"/>
  <c r="T3" i="7"/>
  <c r="S23" i="7"/>
  <c r="T23" i="7" s="1"/>
  <c r="S15" i="7"/>
  <c r="T15" i="7" s="1"/>
  <c r="S37" i="7"/>
  <c r="T37" i="7" s="1"/>
  <c r="S32" i="7"/>
  <c r="T32" i="7" s="1"/>
  <c r="S36" i="7"/>
  <c r="T36" i="7" s="1"/>
  <c r="T30" i="7"/>
  <c r="T33" i="7"/>
  <c r="T40" i="7"/>
  <c r="T43" i="7"/>
  <c r="T10" i="7"/>
  <c r="T14" i="7"/>
  <c r="T25" i="7"/>
  <c r="S26" i="7"/>
  <c r="T26" i="7" s="1"/>
  <c r="S27" i="7"/>
  <c r="T27" i="7" s="1"/>
  <c r="S29" i="7"/>
  <c r="T29" i="7" s="1"/>
  <c r="S35" i="7"/>
  <c r="T35" i="7" s="1"/>
  <c r="S38" i="7"/>
  <c r="T38" i="7" s="1"/>
  <c r="S42" i="7"/>
  <c r="T42" i="7" s="1"/>
  <c r="S21" i="7"/>
  <c r="T21" i="7" s="1"/>
  <c r="T2" i="7"/>
  <c r="S7" i="7"/>
  <c r="T7" i="7" s="1"/>
  <c r="T4" i="7"/>
  <c r="S9" i="7"/>
  <c r="T9" i="7" s="1"/>
  <c r="T12" i="7"/>
  <c r="S17" i="7"/>
  <c r="T17" i="7" s="1"/>
  <c r="S19" i="7"/>
  <c r="T19" i="7" s="1"/>
  <c r="S20" i="7"/>
  <c r="T20" i="7" s="1"/>
  <c r="S22" i="7"/>
  <c r="T22" i="7" s="1"/>
  <c r="T13" i="7"/>
  <c r="T18" i="7"/>
  <c r="S5" i="7"/>
  <c r="S6" i="7"/>
  <c r="T6" i="7" s="1"/>
  <c r="S8" i="7"/>
  <c r="T8" i="7" s="1"/>
  <c r="T11" i="7"/>
  <c r="T16" i="7"/>
  <c r="S44" i="7"/>
  <c r="T44" i="7" s="1"/>
  <c r="S28" i="7"/>
  <c r="T28" i="7" s="1"/>
  <c r="S31" i="7"/>
  <c r="T31" i="7" s="1"/>
  <c r="S34" i="7"/>
  <c r="T34" i="7" s="1"/>
  <c r="S39" i="7"/>
  <c r="T39" i="7" s="1"/>
  <c r="S41" i="7"/>
  <c r="T41" i="7" s="1"/>
  <c r="T24" i="7"/>
  <c r="S45" i="7"/>
  <c r="T45" i="7" s="1"/>
  <c r="T42" i="6"/>
  <c r="T50" i="6"/>
  <c r="T46" i="6"/>
  <c r="T53" i="6"/>
  <c r="T56" i="6"/>
  <c r="S7" i="6"/>
  <c r="T7" i="6" s="1"/>
  <c r="S6" i="6"/>
  <c r="T6" i="6" s="1"/>
  <c r="S11" i="6"/>
  <c r="T11" i="6" s="1"/>
  <c r="S4" i="6"/>
  <c r="T4" i="6" s="1"/>
  <c r="S3" i="6"/>
  <c r="T3" i="6" s="1"/>
  <c r="S9" i="6"/>
  <c r="T9" i="6" s="1"/>
  <c r="S13" i="6"/>
  <c r="T13" i="6" s="1"/>
  <c r="S19" i="6"/>
  <c r="T19" i="6" s="1"/>
  <c r="S20" i="6"/>
  <c r="T20" i="6" s="1"/>
  <c r="S27" i="6"/>
  <c r="T27" i="6" s="1"/>
  <c r="S30" i="6"/>
  <c r="T30" i="6" s="1"/>
  <c r="S39" i="6"/>
  <c r="T39" i="6" s="1"/>
  <c r="S41" i="6"/>
  <c r="T41" i="6" s="1"/>
  <c r="S44" i="6"/>
  <c r="T44" i="6" s="1"/>
  <c r="S49" i="6"/>
  <c r="T49" i="6" s="1"/>
  <c r="S55" i="6"/>
  <c r="T55" i="6" s="1"/>
  <c r="S71" i="6"/>
  <c r="T71" i="6" s="1"/>
  <c r="S10" i="6"/>
  <c r="T10" i="6" s="1"/>
  <c r="S14" i="6"/>
  <c r="T14" i="6" s="1"/>
  <c r="S21" i="6"/>
  <c r="T21" i="6" s="1"/>
  <c r="S25" i="6"/>
  <c r="T25" i="6" s="1"/>
  <c r="S28" i="6"/>
  <c r="T28" i="6" s="1"/>
  <c r="S31" i="6"/>
  <c r="T31" i="6" s="1"/>
  <c r="S33" i="6"/>
  <c r="T33" i="6" s="1"/>
  <c r="S36" i="6"/>
  <c r="T36" i="6" s="1"/>
  <c r="S47" i="6"/>
  <c r="T47" i="6" s="1"/>
  <c r="S54" i="6"/>
  <c r="T54" i="6" s="1"/>
  <c r="S59" i="6"/>
  <c r="T59" i="6" s="1"/>
  <c r="S68" i="6"/>
  <c r="T68" i="6" s="1"/>
  <c r="S16" i="6"/>
  <c r="T16" i="6" s="1"/>
  <c r="S17" i="6"/>
  <c r="T17" i="6" s="1"/>
  <c r="S23" i="6"/>
  <c r="T23" i="6" s="1"/>
  <c r="S26" i="6"/>
  <c r="T26" i="6" s="1"/>
  <c r="S37" i="6"/>
  <c r="T37" i="6" s="1"/>
  <c r="S40" i="6"/>
  <c r="T40" i="6" s="1"/>
  <c r="S45" i="6"/>
  <c r="T45" i="6" s="1"/>
  <c r="S48" i="6"/>
  <c r="T48" i="6" s="1"/>
  <c r="S52" i="6"/>
  <c r="T52" i="6" s="1"/>
  <c r="T12" i="6"/>
  <c r="S15" i="6"/>
  <c r="T15" i="6" s="1"/>
  <c r="R2" i="6"/>
  <c r="S5" i="6"/>
  <c r="T5" i="6" s="1"/>
  <c r="S8" i="6"/>
  <c r="T8" i="6" s="1"/>
  <c r="S18" i="6"/>
  <c r="T18" i="6" s="1"/>
  <c r="S22" i="6"/>
  <c r="T22" i="6" s="1"/>
  <c r="S24" i="6"/>
  <c r="T24" i="6" s="1"/>
  <c r="S29" i="6"/>
  <c r="T29" i="6" s="1"/>
  <c r="S32" i="6"/>
  <c r="T32" i="6" s="1"/>
  <c r="S34" i="6"/>
  <c r="T34" i="6" s="1"/>
  <c r="S35" i="6"/>
  <c r="T35" i="6" s="1"/>
  <c r="S38" i="6"/>
  <c r="T38" i="6" s="1"/>
  <c r="S43" i="6"/>
  <c r="T43" i="6" s="1"/>
  <c r="S51" i="6"/>
  <c r="T51" i="6" s="1"/>
  <c r="S61" i="6"/>
  <c r="T61" i="6" s="1"/>
  <c r="S66" i="6"/>
  <c r="T66" i="6" s="1"/>
  <c r="S74" i="6"/>
  <c r="T74" i="6" s="1"/>
  <c r="S77" i="6"/>
  <c r="T77" i="6" s="1"/>
  <c r="S62" i="6"/>
  <c r="T62" i="6" s="1"/>
  <c r="S63" i="6"/>
  <c r="T63" i="6" s="1"/>
  <c r="S65" i="6"/>
  <c r="T65" i="6" s="1"/>
  <c r="S69" i="6"/>
  <c r="T69" i="6" s="1"/>
  <c r="S72" i="6"/>
  <c r="T72" i="6" s="1"/>
  <c r="S75" i="6"/>
  <c r="T75" i="6" s="1"/>
  <c r="S79" i="6"/>
  <c r="T79" i="6" s="1"/>
  <c r="S57" i="6"/>
  <c r="T57" i="6" s="1"/>
  <c r="S58" i="6"/>
  <c r="T58" i="6" s="1"/>
  <c r="T60" i="6"/>
  <c r="S64" i="6"/>
  <c r="T64" i="6" s="1"/>
  <c r="S67" i="6"/>
  <c r="T67" i="6" s="1"/>
  <c r="S70" i="6"/>
  <c r="T70" i="6" s="1"/>
  <c r="T73" i="6"/>
  <c r="T76" i="6"/>
  <c r="T78" i="6"/>
  <c r="J2" i="3"/>
  <c r="I2" i="3"/>
  <c r="H2" i="3"/>
  <c r="D2" i="3"/>
  <c r="L24" i="2"/>
  <c r="K24" i="2"/>
  <c r="T46" i="7" l="1"/>
  <c r="T59" i="7" s="1"/>
  <c r="T5" i="7"/>
  <c r="S46" i="7"/>
  <c r="S59" i="7" s="1"/>
  <c r="S2" i="6"/>
  <c r="N194" i="1"/>
  <c r="M2" i="2"/>
  <c r="O2" i="2" s="1"/>
  <c r="I7" i="3"/>
  <c r="H7" i="3"/>
  <c r="G7" i="3"/>
  <c r="F7" i="3"/>
  <c r="E7" i="3"/>
  <c r="D7" i="3"/>
  <c r="D3" i="3"/>
  <c r="N20" i="2"/>
  <c r="N21" i="2"/>
  <c r="P2" i="2" l="1"/>
  <c r="Q2" i="2" s="1"/>
  <c r="T2" i="6"/>
  <c r="N6" i="2"/>
  <c r="I6" i="3"/>
  <c r="H6" i="3"/>
  <c r="I4" i="3"/>
  <c r="H4" i="3"/>
  <c r="I3" i="3"/>
  <c r="H3" i="3"/>
  <c r="I5" i="3"/>
  <c r="H5" i="3"/>
  <c r="J5" i="3" s="1"/>
  <c r="M23" i="2"/>
  <c r="O23" i="2" s="1"/>
  <c r="P23" i="2" s="1"/>
  <c r="Q23" i="2" s="1"/>
  <c r="M22" i="2"/>
  <c r="M21" i="2"/>
  <c r="O21" i="2" s="1"/>
  <c r="P21" i="2" s="1"/>
  <c r="Q21" i="2" s="1"/>
  <c r="M20" i="2"/>
  <c r="O20" i="2" s="1"/>
  <c r="P20" i="2" s="1"/>
  <c r="Q20" i="2" s="1"/>
  <c r="M19" i="2"/>
  <c r="O19" i="2" s="1"/>
  <c r="P19" i="2" s="1"/>
  <c r="Q19" i="2" s="1"/>
  <c r="M18" i="2"/>
  <c r="O18" i="2" s="1"/>
  <c r="P18" i="2" s="1"/>
  <c r="Q18" i="2" s="1"/>
  <c r="M17" i="2"/>
  <c r="O17" i="2" s="1"/>
  <c r="P17" i="2" s="1"/>
  <c r="Q17" i="2" s="1"/>
  <c r="M16" i="2"/>
  <c r="O16" i="2" s="1"/>
  <c r="P16" i="2" s="1"/>
  <c r="Q16" i="2" s="1"/>
  <c r="M15" i="2"/>
  <c r="O15" i="2" s="1"/>
  <c r="P15" i="2" s="1"/>
  <c r="Q15" i="2" s="1"/>
  <c r="M14" i="2"/>
  <c r="O14" i="2" s="1"/>
  <c r="P14" i="2" s="1"/>
  <c r="Q14" i="2" s="1"/>
  <c r="M13" i="2"/>
  <c r="M12" i="2"/>
  <c r="O12" i="2" s="1"/>
  <c r="Q12" i="2" s="1"/>
  <c r="M11" i="2"/>
  <c r="O11" i="2" s="1"/>
  <c r="P11" i="2" s="1"/>
  <c r="Q11" i="2" s="1"/>
  <c r="M10" i="2"/>
  <c r="M9" i="2"/>
  <c r="O9" i="2" s="1"/>
  <c r="P9" i="2" s="1"/>
  <c r="Q9" i="2" s="1"/>
  <c r="M8" i="2"/>
  <c r="O8" i="2" s="1"/>
  <c r="P8" i="2" s="1"/>
  <c r="Q8" i="2" s="1"/>
  <c r="M7" i="2"/>
  <c r="O7" i="2" s="1"/>
  <c r="P7" i="2" s="1"/>
  <c r="Q7" i="2" s="1"/>
  <c r="M6" i="2"/>
  <c r="O6" i="2" s="1"/>
  <c r="P6" i="2" s="1"/>
  <c r="Q6" i="2" s="1"/>
  <c r="M5" i="2"/>
  <c r="O5" i="2" s="1"/>
  <c r="P5" i="2" s="1"/>
  <c r="Q5" i="2" s="1"/>
  <c r="M4" i="2"/>
  <c r="O4" i="2" s="1"/>
  <c r="P4" i="2" s="1"/>
  <c r="Q4" i="2" s="1"/>
  <c r="M3" i="2"/>
  <c r="O3" i="2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49" i="1"/>
  <c r="P150" i="1"/>
  <c r="P151" i="1"/>
  <c r="P152" i="1"/>
  <c r="P160" i="1"/>
  <c r="P161" i="1"/>
  <c r="P162" i="1"/>
  <c r="P139" i="1"/>
  <c r="P140" i="1"/>
  <c r="P141" i="1"/>
  <c r="P142" i="1"/>
  <c r="P143" i="1"/>
  <c r="P144" i="1"/>
  <c r="P145" i="1"/>
  <c r="P146" i="1"/>
  <c r="P147" i="1"/>
  <c r="P148" i="1"/>
  <c r="P153" i="1"/>
  <c r="P154" i="1"/>
  <c r="P155" i="1"/>
  <c r="P156" i="1"/>
  <c r="P157" i="1"/>
  <c r="P158" i="1"/>
  <c r="P159" i="1"/>
  <c r="P175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32" i="1"/>
  <c r="P133" i="1"/>
  <c r="P134" i="1"/>
  <c r="P135" i="1"/>
  <c r="P136" i="1"/>
  <c r="P137" i="1"/>
  <c r="P138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2" i="1"/>
  <c r="R2" i="1" s="1"/>
  <c r="S2" i="1" s="1"/>
  <c r="Q3" i="2" l="1"/>
  <c r="T2" i="1"/>
  <c r="M24" i="2"/>
  <c r="N13" i="2"/>
  <c r="O13" i="2" s="1"/>
  <c r="P13" i="2" s="1"/>
  <c r="Q13" i="2" s="1"/>
  <c r="N10" i="2"/>
  <c r="O10" i="2" s="1"/>
  <c r="P10" i="2" s="1"/>
  <c r="Q10" i="2" s="1"/>
  <c r="R192" i="1"/>
  <c r="R188" i="1"/>
  <c r="R184" i="1"/>
  <c r="R180" i="1"/>
  <c r="R176" i="1"/>
  <c r="R135" i="1"/>
  <c r="R174" i="1"/>
  <c r="R170" i="1"/>
  <c r="R166" i="1"/>
  <c r="R175" i="1"/>
  <c r="R156" i="1"/>
  <c r="R148" i="1"/>
  <c r="R144" i="1"/>
  <c r="R140" i="1"/>
  <c r="R160" i="1"/>
  <c r="R149" i="1"/>
  <c r="R128" i="1"/>
  <c r="R124" i="1"/>
  <c r="R120" i="1"/>
  <c r="R116" i="1"/>
  <c r="R112" i="1"/>
  <c r="R104" i="1"/>
  <c r="R100" i="1"/>
  <c r="R96" i="1"/>
  <c r="R92" i="1"/>
  <c r="R88" i="1"/>
  <c r="R84" i="1"/>
  <c r="R80" i="1"/>
  <c r="R76" i="1"/>
  <c r="R72" i="1"/>
  <c r="R68" i="1"/>
  <c r="R64" i="1"/>
  <c r="R60" i="1"/>
  <c r="R56" i="1"/>
  <c r="R52" i="1"/>
  <c r="R48" i="1"/>
  <c r="R44" i="1"/>
  <c r="R40" i="1"/>
  <c r="R36" i="1"/>
  <c r="R32" i="1"/>
  <c r="R28" i="1"/>
  <c r="R24" i="1"/>
  <c r="R20" i="1"/>
  <c r="R16" i="1"/>
  <c r="R12" i="1"/>
  <c r="R8" i="1"/>
  <c r="R4" i="1"/>
  <c r="R191" i="1"/>
  <c r="R187" i="1"/>
  <c r="R183" i="1"/>
  <c r="R179" i="1"/>
  <c r="R138" i="1"/>
  <c r="R134" i="1"/>
  <c r="R173" i="1"/>
  <c r="R169" i="1"/>
  <c r="R165" i="1"/>
  <c r="R159" i="1"/>
  <c r="R155" i="1"/>
  <c r="R147" i="1"/>
  <c r="R143" i="1"/>
  <c r="R139" i="1"/>
  <c r="R152" i="1"/>
  <c r="R131" i="1"/>
  <c r="R127" i="1"/>
  <c r="R123" i="1"/>
  <c r="R119" i="1"/>
  <c r="R115" i="1"/>
  <c r="R103" i="1"/>
  <c r="R99" i="1"/>
  <c r="R95" i="1"/>
  <c r="R91" i="1"/>
  <c r="R87" i="1"/>
  <c r="R83" i="1"/>
  <c r="R79" i="1"/>
  <c r="R75" i="1"/>
  <c r="R71" i="1"/>
  <c r="R67" i="1"/>
  <c r="R63" i="1"/>
  <c r="R59" i="1"/>
  <c r="R55" i="1"/>
  <c r="R51" i="1"/>
  <c r="R47" i="1"/>
  <c r="R43" i="1"/>
  <c r="R39" i="1"/>
  <c r="R35" i="1"/>
  <c r="R31" i="1"/>
  <c r="R27" i="1"/>
  <c r="P194" i="1"/>
  <c r="R23" i="1"/>
  <c r="R19" i="1"/>
  <c r="R15" i="1"/>
  <c r="R11" i="1"/>
  <c r="R7" i="1"/>
  <c r="R3" i="1"/>
  <c r="R190" i="1"/>
  <c r="R186" i="1"/>
  <c r="R182" i="1"/>
  <c r="R178" i="1"/>
  <c r="R137" i="1"/>
  <c r="R133" i="1"/>
  <c r="R172" i="1"/>
  <c r="R168" i="1"/>
  <c r="R164" i="1"/>
  <c r="R158" i="1"/>
  <c r="R154" i="1"/>
  <c r="R146" i="1"/>
  <c r="R142" i="1"/>
  <c r="R162" i="1"/>
  <c r="R151" i="1"/>
  <c r="R130" i="1"/>
  <c r="R126" i="1"/>
  <c r="R122" i="1"/>
  <c r="R118" i="1"/>
  <c r="R114" i="1"/>
  <c r="R106" i="1"/>
  <c r="R102" i="1"/>
  <c r="R98" i="1"/>
  <c r="R94" i="1"/>
  <c r="R90" i="1"/>
  <c r="R86" i="1"/>
  <c r="R82" i="1"/>
  <c r="R78" i="1"/>
  <c r="R74" i="1"/>
  <c r="R70" i="1"/>
  <c r="R66" i="1"/>
  <c r="R62" i="1"/>
  <c r="R58" i="1"/>
  <c r="R54" i="1"/>
  <c r="R50" i="1"/>
  <c r="R46" i="1"/>
  <c r="R42" i="1"/>
  <c r="R38" i="1"/>
  <c r="R34" i="1"/>
  <c r="R30" i="1"/>
  <c r="R26" i="1"/>
  <c r="R22" i="1"/>
  <c r="R18" i="1"/>
  <c r="S18" i="1" s="1"/>
  <c r="R14" i="1"/>
  <c r="R10" i="1"/>
  <c r="R6" i="1"/>
  <c r="R193" i="1"/>
  <c r="R189" i="1"/>
  <c r="R185" i="1"/>
  <c r="R181" i="1"/>
  <c r="R177" i="1"/>
  <c r="R136" i="1"/>
  <c r="R132" i="1"/>
  <c r="R171" i="1"/>
  <c r="R167" i="1"/>
  <c r="R163" i="1"/>
  <c r="R157" i="1"/>
  <c r="R153" i="1"/>
  <c r="R145" i="1"/>
  <c r="R141" i="1"/>
  <c r="R161" i="1"/>
  <c r="R150" i="1"/>
  <c r="R129" i="1"/>
  <c r="R125" i="1"/>
  <c r="R121" i="1"/>
  <c r="R117" i="1"/>
  <c r="R113" i="1"/>
  <c r="R105" i="1"/>
  <c r="R101" i="1"/>
  <c r="R97" i="1"/>
  <c r="R93" i="1"/>
  <c r="R89" i="1"/>
  <c r="R85" i="1"/>
  <c r="R81" i="1"/>
  <c r="R77" i="1"/>
  <c r="R73" i="1"/>
  <c r="R69" i="1"/>
  <c r="S69" i="1" s="1"/>
  <c r="R65" i="1"/>
  <c r="R61" i="1"/>
  <c r="R57" i="1"/>
  <c r="R53" i="1"/>
  <c r="R49" i="1"/>
  <c r="R45" i="1"/>
  <c r="R41" i="1"/>
  <c r="R37" i="1"/>
  <c r="R33" i="1"/>
  <c r="R29" i="1"/>
  <c r="R25" i="1"/>
  <c r="R21" i="1"/>
  <c r="R17" i="1"/>
  <c r="R13" i="1"/>
  <c r="R9" i="1"/>
  <c r="R5" i="1"/>
  <c r="J7" i="3"/>
  <c r="J4" i="3"/>
  <c r="J3" i="3"/>
  <c r="N22" i="2"/>
  <c r="O22" i="2" s="1"/>
  <c r="P22" i="2" s="1"/>
  <c r="Q22" i="2" s="1"/>
  <c r="Q111" i="1"/>
  <c r="R111" i="1" s="1"/>
  <c r="Q110" i="1"/>
  <c r="R110" i="1" s="1"/>
  <c r="Q109" i="1"/>
  <c r="R109" i="1" s="1"/>
  <c r="Q108" i="1"/>
  <c r="R108" i="1" s="1"/>
  <c r="Q107" i="1"/>
  <c r="J6" i="3"/>
  <c r="S109" i="1" l="1"/>
  <c r="T109" i="1" s="1"/>
  <c r="S9" i="1"/>
  <c r="T9" i="1" s="1"/>
  <c r="S41" i="1"/>
  <c r="T41" i="1" s="1"/>
  <c r="S73" i="1"/>
  <c r="T73" i="1" s="1"/>
  <c r="S110" i="1"/>
  <c r="T110" i="1" s="1"/>
  <c r="S13" i="1"/>
  <c r="T13" i="1" s="1"/>
  <c r="S29" i="1"/>
  <c r="T29" i="1" s="1"/>
  <c r="T45" i="1"/>
  <c r="S61" i="1"/>
  <c r="T61" i="1" s="1"/>
  <c r="S77" i="1"/>
  <c r="T77" i="1" s="1"/>
  <c r="S93" i="1"/>
  <c r="T93" i="1" s="1"/>
  <c r="S113" i="1"/>
  <c r="T113" i="1" s="1"/>
  <c r="S129" i="1"/>
  <c r="T129" i="1" s="1"/>
  <c r="T145" i="1"/>
  <c r="S167" i="1"/>
  <c r="T167" i="1" s="1"/>
  <c r="S177" i="1"/>
  <c r="T177" i="1" s="1"/>
  <c r="S193" i="1"/>
  <c r="T193" i="1" s="1"/>
  <c r="T18" i="1"/>
  <c r="S34" i="1"/>
  <c r="T34" i="1" s="1"/>
  <c r="S50" i="1"/>
  <c r="T50" i="1" s="1"/>
  <c r="S66" i="1"/>
  <c r="T66" i="1" s="1"/>
  <c r="S82" i="1"/>
  <c r="T82" i="1" s="1"/>
  <c r="S98" i="1"/>
  <c r="T98" i="1" s="1"/>
  <c r="S118" i="1"/>
  <c r="T118" i="1" s="1"/>
  <c r="S151" i="1"/>
  <c r="T151" i="1" s="1"/>
  <c r="S154" i="1"/>
  <c r="T154" i="1" s="1"/>
  <c r="S172" i="1"/>
  <c r="T172" i="1" s="1"/>
  <c r="S182" i="1"/>
  <c r="T182" i="1" s="1"/>
  <c r="S7" i="1"/>
  <c r="T7" i="1" s="1"/>
  <c r="T23" i="1"/>
  <c r="S35" i="1"/>
  <c r="T35" i="1" s="1"/>
  <c r="S51" i="1"/>
  <c r="T51" i="1" s="1"/>
  <c r="S67" i="1"/>
  <c r="T67" i="1" s="1"/>
  <c r="S83" i="1"/>
  <c r="T83" i="1" s="1"/>
  <c r="S99" i="1"/>
  <c r="T99" i="1" s="1"/>
  <c r="S123" i="1"/>
  <c r="T123" i="1" s="1"/>
  <c r="S139" i="1"/>
  <c r="T139" i="1" s="1"/>
  <c r="S159" i="1"/>
  <c r="T159" i="1" s="1"/>
  <c r="S134" i="1"/>
  <c r="T134" i="1" s="1"/>
  <c r="S187" i="1"/>
  <c r="T187" i="1" s="1"/>
  <c r="S12" i="1"/>
  <c r="T12" i="1" s="1"/>
  <c r="S28" i="1"/>
  <c r="T28" i="1" s="1"/>
  <c r="S44" i="1"/>
  <c r="T44" i="1" s="1"/>
  <c r="S60" i="1"/>
  <c r="T60" i="1" s="1"/>
  <c r="S76" i="1"/>
  <c r="T76" i="1" s="1"/>
  <c r="S92" i="1"/>
  <c r="T92" i="1" s="1"/>
  <c r="S112" i="1"/>
  <c r="T112" i="1" s="1"/>
  <c r="S128" i="1"/>
  <c r="T128" i="1" s="1"/>
  <c r="T144" i="1"/>
  <c r="S166" i="1"/>
  <c r="T166" i="1" s="1"/>
  <c r="S176" i="1"/>
  <c r="T176" i="1" s="1"/>
  <c r="S192" i="1"/>
  <c r="T192" i="1" s="1"/>
  <c r="S111" i="1"/>
  <c r="T111" i="1" s="1"/>
  <c r="S17" i="1"/>
  <c r="T17" i="1" s="1"/>
  <c r="S33" i="1"/>
  <c r="T33" i="1" s="1"/>
  <c r="S49" i="1"/>
  <c r="T49" i="1" s="1"/>
  <c r="S65" i="1"/>
  <c r="T65" i="1" s="1"/>
  <c r="T81" i="1"/>
  <c r="S97" i="1"/>
  <c r="T97" i="1" s="1"/>
  <c r="S117" i="1"/>
  <c r="T117" i="1" s="1"/>
  <c r="T150" i="1"/>
  <c r="S153" i="1"/>
  <c r="T153" i="1" s="1"/>
  <c r="S171" i="1"/>
  <c r="T171" i="1" s="1"/>
  <c r="S181" i="1"/>
  <c r="T181" i="1" s="1"/>
  <c r="S6" i="1"/>
  <c r="T6" i="1" s="1"/>
  <c r="S22" i="1"/>
  <c r="T22" i="1" s="1"/>
  <c r="S38" i="1"/>
  <c r="T38" i="1" s="1"/>
  <c r="S54" i="1"/>
  <c r="T54" i="1" s="1"/>
  <c r="S70" i="1"/>
  <c r="T70" i="1" s="1"/>
  <c r="S86" i="1"/>
  <c r="T86" i="1" s="1"/>
  <c r="S102" i="1"/>
  <c r="T102" i="1" s="1"/>
  <c r="S122" i="1"/>
  <c r="T122" i="1" s="1"/>
  <c r="S162" i="1"/>
  <c r="T162" i="1" s="1"/>
  <c r="S158" i="1"/>
  <c r="T158" i="1" s="1"/>
  <c r="S133" i="1"/>
  <c r="T133" i="1" s="1"/>
  <c r="S186" i="1"/>
  <c r="T186" i="1" s="1"/>
  <c r="S11" i="1"/>
  <c r="T11" i="1" s="1"/>
  <c r="T39" i="1"/>
  <c r="S55" i="1"/>
  <c r="T55" i="1" s="1"/>
  <c r="T71" i="1"/>
  <c r="S87" i="1"/>
  <c r="T87" i="1" s="1"/>
  <c r="S103" i="1"/>
  <c r="T103" i="1" s="1"/>
  <c r="S127" i="1"/>
  <c r="T127" i="1" s="1"/>
  <c r="S143" i="1"/>
  <c r="T143" i="1" s="1"/>
  <c r="S165" i="1"/>
  <c r="T165" i="1" s="1"/>
  <c r="S138" i="1"/>
  <c r="T138" i="1" s="1"/>
  <c r="S191" i="1"/>
  <c r="T191" i="1" s="1"/>
  <c r="S16" i="1"/>
  <c r="T16" i="1" s="1"/>
  <c r="S32" i="1"/>
  <c r="T32" i="1" s="1"/>
  <c r="S48" i="1"/>
  <c r="T48" i="1" s="1"/>
  <c r="S64" i="1"/>
  <c r="T64" i="1" s="1"/>
  <c r="S80" i="1"/>
  <c r="T80" i="1" s="1"/>
  <c r="S96" i="1"/>
  <c r="T96" i="1" s="1"/>
  <c r="S116" i="1"/>
  <c r="T116" i="1" s="1"/>
  <c r="S149" i="1"/>
  <c r="T149" i="1" s="1"/>
  <c r="S148" i="1"/>
  <c r="T148" i="1" s="1"/>
  <c r="S170" i="1"/>
  <c r="T170" i="1" s="1"/>
  <c r="S180" i="1"/>
  <c r="T180" i="1" s="1"/>
  <c r="S5" i="1"/>
  <c r="T5" i="1" s="1"/>
  <c r="S21" i="1"/>
  <c r="T21" i="1" s="1"/>
  <c r="S37" i="1"/>
  <c r="T37" i="1" s="1"/>
  <c r="S53" i="1"/>
  <c r="T53" i="1" s="1"/>
  <c r="T69" i="1"/>
  <c r="S85" i="1"/>
  <c r="T85" i="1" s="1"/>
  <c r="S101" i="1"/>
  <c r="T101" i="1" s="1"/>
  <c r="S121" i="1"/>
  <c r="T121" i="1" s="1"/>
  <c r="S161" i="1"/>
  <c r="T161" i="1" s="1"/>
  <c r="S157" i="1"/>
  <c r="T157" i="1" s="1"/>
  <c r="S132" i="1"/>
  <c r="T132" i="1" s="1"/>
  <c r="S185" i="1"/>
  <c r="T185" i="1" s="1"/>
  <c r="S10" i="1"/>
  <c r="T10" i="1" s="1"/>
  <c r="S26" i="1"/>
  <c r="T26" i="1" s="1"/>
  <c r="S42" i="1"/>
  <c r="T42" i="1" s="1"/>
  <c r="S58" i="1"/>
  <c r="T58" i="1" s="1"/>
  <c r="S74" i="1"/>
  <c r="T74" i="1" s="1"/>
  <c r="S90" i="1"/>
  <c r="T90" i="1" s="1"/>
  <c r="S106" i="1"/>
  <c r="T106" i="1" s="1"/>
  <c r="S126" i="1"/>
  <c r="T126" i="1" s="1"/>
  <c r="S142" i="1"/>
  <c r="T142" i="1" s="1"/>
  <c r="S164" i="1"/>
  <c r="T164" i="1" s="1"/>
  <c r="S137" i="1"/>
  <c r="T137" i="1" s="1"/>
  <c r="T190" i="1"/>
  <c r="S15" i="1"/>
  <c r="T15" i="1" s="1"/>
  <c r="S27" i="1"/>
  <c r="T27" i="1" s="1"/>
  <c r="S43" i="1"/>
  <c r="T43" i="1" s="1"/>
  <c r="S59" i="1"/>
  <c r="T59" i="1" s="1"/>
  <c r="S75" i="1"/>
  <c r="T75" i="1" s="1"/>
  <c r="S91" i="1"/>
  <c r="T91" i="1" s="1"/>
  <c r="T115" i="1"/>
  <c r="S131" i="1"/>
  <c r="T131" i="1" s="1"/>
  <c r="T147" i="1"/>
  <c r="T169" i="1"/>
  <c r="S179" i="1"/>
  <c r="T179" i="1" s="1"/>
  <c r="S4" i="1"/>
  <c r="T4" i="1" s="1"/>
  <c r="S20" i="1"/>
  <c r="T20" i="1" s="1"/>
  <c r="S36" i="1"/>
  <c r="T36" i="1" s="1"/>
  <c r="S52" i="1"/>
  <c r="T52" i="1" s="1"/>
  <c r="S68" i="1"/>
  <c r="T68" i="1" s="1"/>
  <c r="S84" i="1"/>
  <c r="T84" i="1" s="1"/>
  <c r="S100" i="1"/>
  <c r="T100" i="1" s="1"/>
  <c r="S120" i="1"/>
  <c r="T120" i="1" s="1"/>
  <c r="S160" i="1"/>
  <c r="T160" i="1" s="1"/>
  <c r="S156" i="1"/>
  <c r="T156" i="1" s="1"/>
  <c r="S174" i="1"/>
  <c r="T174" i="1" s="1"/>
  <c r="S184" i="1"/>
  <c r="T184" i="1" s="1"/>
  <c r="S108" i="1"/>
  <c r="T108" i="1" s="1"/>
  <c r="S25" i="1"/>
  <c r="T25" i="1" s="1"/>
  <c r="S57" i="1"/>
  <c r="T57" i="1" s="1"/>
  <c r="S89" i="1"/>
  <c r="T89" i="1" s="1"/>
  <c r="S105" i="1"/>
  <c r="T105" i="1" s="1"/>
  <c r="S125" i="1"/>
  <c r="T125" i="1" s="1"/>
  <c r="T141" i="1"/>
  <c r="S163" i="1"/>
  <c r="T163" i="1" s="1"/>
  <c r="S136" i="1"/>
  <c r="T136" i="1" s="1"/>
  <c r="S189" i="1"/>
  <c r="T189" i="1" s="1"/>
  <c r="S14" i="1"/>
  <c r="T14" i="1" s="1"/>
  <c r="S30" i="1"/>
  <c r="T30" i="1" s="1"/>
  <c r="S46" i="1"/>
  <c r="T46" i="1" s="1"/>
  <c r="S62" i="1"/>
  <c r="T62" i="1" s="1"/>
  <c r="T78" i="1"/>
  <c r="S94" i="1"/>
  <c r="T94" i="1" s="1"/>
  <c r="T114" i="1"/>
  <c r="S130" i="1"/>
  <c r="T130" i="1" s="1"/>
  <c r="T146" i="1"/>
  <c r="S168" i="1"/>
  <c r="T168" i="1" s="1"/>
  <c r="S178" i="1"/>
  <c r="T178" i="1" s="1"/>
  <c r="T3" i="1"/>
  <c r="S19" i="1"/>
  <c r="T19" i="1" s="1"/>
  <c r="S31" i="1"/>
  <c r="T31" i="1" s="1"/>
  <c r="S47" i="1"/>
  <c r="T47" i="1" s="1"/>
  <c r="S63" i="1"/>
  <c r="T63" i="1" s="1"/>
  <c r="S79" i="1"/>
  <c r="T79" i="1" s="1"/>
  <c r="S95" i="1"/>
  <c r="T95" i="1" s="1"/>
  <c r="T119" i="1"/>
  <c r="S152" i="1"/>
  <c r="T152" i="1" s="1"/>
  <c r="S155" i="1"/>
  <c r="T155" i="1" s="1"/>
  <c r="S173" i="1"/>
  <c r="T173" i="1" s="1"/>
  <c r="S183" i="1"/>
  <c r="T183" i="1" s="1"/>
  <c r="S8" i="1"/>
  <c r="T8" i="1" s="1"/>
  <c r="S24" i="1"/>
  <c r="T24" i="1" s="1"/>
  <c r="S40" i="1"/>
  <c r="T40" i="1" s="1"/>
  <c r="S56" i="1"/>
  <c r="T56" i="1" s="1"/>
  <c r="S72" i="1"/>
  <c r="T72" i="1" s="1"/>
  <c r="S88" i="1"/>
  <c r="T88" i="1" s="1"/>
  <c r="S104" i="1"/>
  <c r="T104" i="1" s="1"/>
  <c r="S124" i="1"/>
  <c r="T124" i="1" s="1"/>
  <c r="S140" i="1"/>
  <c r="T140" i="1" s="1"/>
  <c r="S175" i="1"/>
  <c r="T175" i="1" s="1"/>
  <c r="S135" i="1"/>
  <c r="T135" i="1" s="1"/>
  <c r="S188" i="1"/>
  <c r="T188" i="1" s="1"/>
  <c r="P24" i="2"/>
  <c r="N24" i="2"/>
  <c r="R107" i="1"/>
  <c r="Q194" i="1"/>
  <c r="R194" i="1" l="1"/>
  <c r="S107" i="1"/>
  <c r="S194" i="1" s="1"/>
  <c r="Q24" i="2"/>
  <c r="T107" i="1" l="1"/>
  <c r="T194" i="1" s="1"/>
  <c r="C193" i="1"/>
  <c r="C192" i="1"/>
  <c r="C191" i="1"/>
  <c r="C190" i="1"/>
  <c r="C188" i="1"/>
  <c r="C187" i="1"/>
  <c r="C186" i="1"/>
  <c r="C185" i="1"/>
  <c r="C184" i="1"/>
  <c r="C183" i="1"/>
  <c r="C182" i="1"/>
  <c r="C180" i="1"/>
  <c r="C177" i="1"/>
  <c r="C176" i="1"/>
  <c r="C138" i="1"/>
  <c r="C137" i="1"/>
  <c r="C136" i="1"/>
  <c r="C134" i="1"/>
  <c r="C133" i="1"/>
  <c r="C132" i="1"/>
  <c r="C174" i="1"/>
  <c r="C173" i="1"/>
  <c r="C172" i="1"/>
  <c r="C171" i="1"/>
  <c r="C170" i="1"/>
  <c r="C169" i="1"/>
  <c r="C168" i="1"/>
  <c r="C166" i="1"/>
  <c r="C165" i="1"/>
  <c r="C164" i="1"/>
  <c r="C163" i="1"/>
  <c r="C175" i="1"/>
  <c r="C158" i="1"/>
  <c r="C157" i="1"/>
  <c r="C156" i="1"/>
  <c r="C155" i="1"/>
  <c r="C154" i="1"/>
  <c r="C153" i="1"/>
  <c r="C147" i="1"/>
  <c r="C146" i="1"/>
  <c r="C145" i="1"/>
  <c r="C144" i="1"/>
  <c r="C143" i="1"/>
  <c r="C142" i="1"/>
  <c r="C141" i="1"/>
  <c r="C140" i="1"/>
  <c r="C139" i="1"/>
  <c r="C162" i="1"/>
  <c r="C161" i="1"/>
  <c r="C160" i="1"/>
  <c r="C151" i="1"/>
  <c r="C150" i="1"/>
  <c r="C149" i="1"/>
  <c r="C131" i="1"/>
  <c r="C130" i="1"/>
  <c r="C129" i="1"/>
  <c r="C128" i="1"/>
  <c r="C127" i="1"/>
  <c r="C124" i="1"/>
  <c r="C123" i="1"/>
  <c r="C122" i="1"/>
  <c r="C121" i="1"/>
  <c r="C120" i="1"/>
  <c r="C119" i="1"/>
  <c r="C118" i="1"/>
  <c r="C117" i="1"/>
  <c r="C116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1" i="1"/>
  <c r="C67" i="1"/>
  <c r="C66" i="1"/>
  <c r="C65" i="1"/>
  <c r="C64" i="1"/>
  <c r="C63" i="1"/>
  <c r="C61" i="1"/>
  <c r="C59" i="1"/>
  <c r="C58" i="1"/>
  <c r="C57" i="1"/>
  <c r="C56" i="1"/>
  <c r="C55" i="1"/>
  <c r="C54" i="1"/>
  <c r="C53" i="1"/>
  <c r="C52" i="1"/>
  <c r="C51" i="1"/>
  <c r="C50" i="1"/>
  <c r="C49" i="1"/>
  <c r="C45" i="1"/>
  <c r="C44" i="1"/>
  <c r="C43" i="1"/>
  <c r="C42" i="1"/>
  <c r="C41" i="1"/>
  <c r="C40" i="1"/>
  <c r="C39" i="1"/>
  <c r="C38" i="1"/>
  <c r="C37" i="1"/>
  <c r="C35" i="1"/>
  <c r="C34" i="1"/>
  <c r="C31" i="1"/>
  <c r="C30" i="1"/>
  <c r="C29" i="1"/>
  <c r="C28" i="1"/>
  <c r="C26" i="1"/>
  <c r="C25" i="1"/>
  <c r="C24" i="1"/>
  <c r="C22" i="1"/>
  <c r="C21" i="1"/>
  <c r="C20" i="1"/>
  <c r="C19" i="1"/>
  <c r="C16" i="1"/>
  <c r="C15" i="1"/>
  <c r="C13" i="1"/>
  <c r="C12" i="1"/>
  <c r="C11" i="1"/>
  <c r="C10" i="1"/>
  <c r="C9" i="1"/>
  <c r="C8" i="1"/>
  <c r="C7" i="1"/>
  <c r="C6" i="1"/>
  <c r="C5" i="1"/>
  <c r="C4" i="1"/>
  <c r="C125" i="1"/>
  <c r="C126" i="1"/>
  <c r="C148" i="1"/>
  <c r="C167" i="1"/>
  <c r="C2" i="1"/>
</calcChain>
</file>

<file path=xl/sharedStrings.xml><?xml version="1.0" encoding="utf-8"?>
<sst xmlns="http://schemas.openxmlformats.org/spreadsheetml/2006/main" count="3623" uniqueCount="1053">
  <si>
    <t>Sr.No.</t>
  </si>
  <si>
    <t>Int. ID</t>
  </si>
  <si>
    <t>Pmt Lot</t>
  </si>
  <si>
    <t>Name</t>
  </si>
  <si>
    <t>A/c No</t>
  </si>
  <si>
    <t>IFSC</t>
  </si>
  <si>
    <t>Bank Name</t>
  </si>
  <si>
    <t>PAN</t>
  </si>
  <si>
    <t>UID</t>
  </si>
  <si>
    <t>PAN Check</t>
  </si>
  <si>
    <t>Mobile number</t>
  </si>
  <si>
    <t>Supervisor Name</t>
  </si>
  <si>
    <t>Zonal Manager Name</t>
  </si>
  <si>
    <t>Valid Interviews</t>
  </si>
  <si>
    <t>Rate</t>
  </si>
  <si>
    <t>Amount</t>
  </si>
  <si>
    <t>Advance</t>
  </si>
  <si>
    <t>Payable</t>
  </si>
  <si>
    <t>TDS</t>
  </si>
  <si>
    <t>To be paid</t>
  </si>
  <si>
    <t>1st</t>
  </si>
  <si>
    <t>Mojahedul Islam</t>
  </si>
  <si>
    <t>7853295742</t>
  </si>
  <si>
    <t>IDIB000R618</t>
  </si>
  <si>
    <t>Indian Bank</t>
  </si>
  <si>
    <t>ALMPI8634B</t>
  </si>
  <si>
    <t>615125341477</t>
  </si>
  <si>
    <t>Y</t>
  </si>
  <si>
    <t>Md Baijid Amin Sardar</t>
  </si>
  <si>
    <t xml:space="preserve">Abdur Rakib </t>
  </si>
  <si>
    <t>Md Badiruddin</t>
  </si>
  <si>
    <t>448104000013758</t>
  </si>
  <si>
    <t>IBKL0000448</t>
  </si>
  <si>
    <t>Idbi Bank</t>
  </si>
  <si>
    <t>AQCPB4873C</t>
  </si>
  <si>
    <t>745525843811</t>
  </si>
  <si>
    <t>Md Injamamul Hoque</t>
  </si>
  <si>
    <t>15490110072875</t>
  </si>
  <si>
    <t>UCBA0001549</t>
  </si>
  <si>
    <t>Uco Bank</t>
  </si>
  <si>
    <t>AYOPH1482R</t>
  </si>
  <si>
    <t>662198845639</t>
  </si>
  <si>
    <t>Md Foriduddin Attar</t>
  </si>
  <si>
    <t>2011201700015440</t>
  </si>
  <si>
    <t>PUNB0201120</t>
  </si>
  <si>
    <t>Punjab National Bank</t>
  </si>
  <si>
    <t>AOLPA6088H</t>
  </si>
  <si>
    <t>508262382574</t>
  </si>
  <si>
    <t>Kabir Sk</t>
  </si>
  <si>
    <t>34052797444</t>
  </si>
  <si>
    <t>SBIN0000098</t>
  </si>
  <si>
    <t>State Bank Of India</t>
  </si>
  <si>
    <t>HQIPS3379P</t>
  </si>
  <si>
    <t>454802653334</t>
  </si>
  <si>
    <t>Anjad Ali Sk</t>
  </si>
  <si>
    <t>Alamin Sk</t>
  </si>
  <si>
    <t>623102010018040</t>
  </si>
  <si>
    <t>UBIN0562319</t>
  </si>
  <si>
    <t>Union Bank Of India</t>
  </si>
  <si>
    <t>GYHPS2710E</t>
  </si>
  <si>
    <t>728041828619</t>
  </si>
  <si>
    <t>Balaka Sutradhar</t>
  </si>
  <si>
    <t>0227010172394</t>
  </si>
  <si>
    <t>PUNB0022720</t>
  </si>
  <si>
    <t>JCMPS7678H</t>
  </si>
  <si>
    <t>493276721846</t>
  </si>
  <si>
    <t>Aksarul Sk</t>
  </si>
  <si>
    <t>59070623527</t>
  </si>
  <si>
    <t>IDIB000K565</t>
  </si>
  <si>
    <t>NVOPS1894A</t>
  </si>
  <si>
    <t>484903452572</t>
  </si>
  <si>
    <t>SK Mojibur Rahaman</t>
  </si>
  <si>
    <t>77770100635966</t>
  </si>
  <si>
    <t>FDRL0007777</t>
  </si>
  <si>
    <t>Federal Bank</t>
  </si>
  <si>
    <t>FHZPR6519E</t>
  </si>
  <si>
    <t>779694069815</t>
  </si>
  <si>
    <t>Abusiddik Shaikh</t>
  </si>
  <si>
    <t>39334011277</t>
  </si>
  <si>
    <t>SBIN0003735</t>
  </si>
  <si>
    <t>DTTPS9288B</t>
  </si>
  <si>
    <t>498877206584</t>
  </si>
  <si>
    <t>Md Sahil Sk</t>
  </si>
  <si>
    <t>40623678378</t>
  </si>
  <si>
    <t>QKHPS3801Q</t>
  </si>
  <si>
    <t>533974097227</t>
  </si>
  <si>
    <t>Biddes Sarkar</t>
  </si>
  <si>
    <t>43339959350</t>
  </si>
  <si>
    <t>NDIPS9186P</t>
  </si>
  <si>
    <t>407442465969</t>
  </si>
  <si>
    <t xml:space="preserve">Prosenjit Das </t>
  </si>
  <si>
    <t>508010510000569</t>
  </si>
  <si>
    <t>BKID0005080</t>
  </si>
  <si>
    <t xml:space="preserve">Bank Of India </t>
  </si>
  <si>
    <t>BXTPD8296C</t>
  </si>
  <si>
    <t>644555979243</t>
  </si>
  <si>
    <t>Tusar Sk</t>
  </si>
  <si>
    <t>35902509071</t>
  </si>
  <si>
    <t>SRXPS5723L</t>
  </si>
  <si>
    <t>356965840870</t>
  </si>
  <si>
    <t>Rabi Joysawal</t>
  </si>
  <si>
    <t>35505761521</t>
  </si>
  <si>
    <t>SBIN0016649</t>
  </si>
  <si>
    <t>BDKPJ4349F</t>
  </si>
  <si>
    <t>639409696181</t>
  </si>
  <si>
    <t>Pappu Saha</t>
  </si>
  <si>
    <t>Ripan Bhowmik</t>
  </si>
  <si>
    <t>31511474039</t>
  </si>
  <si>
    <t>SBIN0012371</t>
  </si>
  <si>
    <t>AXEPB3431D</t>
  </si>
  <si>
    <t>931570931112</t>
  </si>
  <si>
    <t>Manotosh Paul</t>
  </si>
  <si>
    <t>Roni Swarnamat</t>
  </si>
  <si>
    <t>1627010034043</t>
  </si>
  <si>
    <t>PUNB0162720</t>
  </si>
  <si>
    <t>GHWPS7793M</t>
  </si>
  <si>
    <t>592590078075</t>
  </si>
  <si>
    <t>Tanoy Ghosh</t>
  </si>
  <si>
    <t>0220200100000971</t>
  </si>
  <si>
    <t>PUNB0022020</t>
  </si>
  <si>
    <t>EANPG2676B</t>
  </si>
  <si>
    <t>457199307166</t>
  </si>
  <si>
    <t xml:space="preserve">Resmina Khatun </t>
  </si>
  <si>
    <t>34610038553</t>
  </si>
  <si>
    <t>SBIN0006931</t>
  </si>
  <si>
    <t>DLEPK5589Q</t>
  </si>
  <si>
    <t>534157826617</t>
  </si>
  <si>
    <t>Raihan Nasim Banu</t>
  </si>
  <si>
    <t xml:space="preserve">Biswajit Saha </t>
  </si>
  <si>
    <t>41594151559</t>
  </si>
  <si>
    <t>SBIN0008727</t>
  </si>
  <si>
    <t>QNZPS7367N</t>
  </si>
  <si>
    <t>688638604106</t>
  </si>
  <si>
    <t xml:space="preserve">Sami Aktara </t>
  </si>
  <si>
    <t>12200131004790</t>
  </si>
  <si>
    <t>PUNB0RRBBGB</t>
  </si>
  <si>
    <t>Paschim Banga Gramin Bank</t>
  </si>
  <si>
    <t>BOTPA0814G</t>
  </si>
  <si>
    <t>487040797039</t>
  </si>
  <si>
    <t>Basabi Sutradhar</t>
  </si>
  <si>
    <t>30768364188</t>
  </si>
  <si>
    <t>OXMPS8084M</t>
  </si>
  <si>
    <t>533478401024</t>
  </si>
  <si>
    <t>Nowman Sk</t>
  </si>
  <si>
    <t>6705000100076419</t>
  </si>
  <si>
    <t>PUNB0670500</t>
  </si>
  <si>
    <t>GDCPS5220P</t>
  </si>
  <si>
    <t>354900574815</t>
  </si>
  <si>
    <t>Abdur Rahaman Mondal</t>
  </si>
  <si>
    <t>36023872094</t>
  </si>
  <si>
    <t>SBIN0008860</t>
  </si>
  <si>
    <t>GTQPM0604B</t>
  </si>
  <si>
    <t>774553485740</t>
  </si>
  <si>
    <t>Sabnur Sultana</t>
  </si>
  <si>
    <t>33289288084</t>
  </si>
  <si>
    <t>SBIN0011376</t>
  </si>
  <si>
    <t>THTPS9662F</t>
  </si>
  <si>
    <t>342155014037</t>
  </si>
  <si>
    <t>Siddharta Mondal</t>
  </si>
  <si>
    <t>50231030701</t>
  </si>
  <si>
    <t>IDIB000S775</t>
  </si>
  <si>
    <t>CMWPM9635D</t>
  </si>
  <si>
    <t>884008262349</t>
  </si>
  <si>
    <t>Anitesh Das</t>
  </si>
  <si>
    <t xml:space="preserve">Sibsankar Giri </t>
  </si>
  <si>
    <t>Manindra Mistry</t>
  </si>
  <si>
    <t>20215198237</t>
  </si>
  <si>
    <t>SBIN0011369</t>
  </si>
  <si>
    <t>CEMPM5182H</t>
  </si>
  <si>
    <t>859051891137</t>
  </si>
  <si>
    <t>Anuya Goswami</t>
  </si>
  <si>
    <t>40377370258</t>
  </si>
  <si>
    <t>SBIN0012342</t>
  </si>
  <si>
    <t>ALRPG3631R</t>
  </si>
  <si>
    <t>653729858582</t>
  </si>
  <si>
    <t>Biswanath Maity</t>
  </si>
  <si>
    <t>0135010445481</t>
  </si>
  <si>
    <t>PUNB0130820</t>
  </si>
  <si>
    <t>Pnb</t>
  </si>
  <si>
    <t>GXEPM7575P</t>
  </si>
  <si>
    <t>805552251605</t>
  </si>
  <si>
    <t>Modhumita Halder</t>
  </si>
  <si>
    <t>40021104702</t>
  </si>
  <si>
    <t>SBIN0014031</t>
  </si>
  <si>
    <t>ASAPH7483G</t>
  </si>
  <si>
    <t>424902408186</t>
  </si>
  <si>
    <t>Puskar Naskar</t>
  </si>
  <si>
    <t>0300010669900</t>
  </si>
  <si>
    <t>PUNB0030020</t>
  </si>
  <si>
    <t>DBLPN6469R</t>
  </si>
  <si>
    <t>827880500965</t>
  </si>
  <si>
    <t>Tanujit Roy</t>
  </si>
  <si>
    <t>32355895579</t>
  </si>
  <si>
    <t>SBIN0012344</t>
  </si>
  <si>
    <t>BQTPR1333P</t>
  </si>
  <si>
    <t>540393341407</t>
  </si>
  <si>
    <t>Mampy Nayak</t>
  </si>
  <si>
    <t>Sahanur Mondal</t>
  </si>
  <si>
    <t>41329253932</t>
  </si>
  <si>
    <t>SBIN0011371</t>
  </si>
  <si>
    <t>HTXPM1668D</t>
  </si>
  <si>
    <t>312413735568</t>
  </si>
  <si>
    <t>Dipankar Mondal</t>
  </si>
  <si>
    <t>Sabir Mondal</t>
  </si>
  <si>
    <t>38690814807</t>
  </si>
  <si>
    <t>SBIN0002005</t>
  </si>
  <si>
    <t>GIMPM7910P</t>
  </si>
  <si>
    <t>638164766261</t>
  </si>
  <si>
    <t>Dipanta Mondal</t>
  </si>
  <si>
    <t>1209010338431</t>
  </si>
  <si>
    <t>PUNB0120920</t>
  </si>
  <si>
    <t>IJGPM0027J</t>
  </si>
  <si>
    <t>391626104625</t>
  </si>
  <si>
    <t>Minati Barai</t>
  </si>
  <si>
    <t>31254007700</t>
  </si>
  <si>
    <t>SBIN0000166</t>
  </si>
  <si>
    <t>EBGPB8415R</t>
  </si>
  <si>
    <t>875919232597</t>
  </si>
  <si>
    <t>Tushar Roy</t>
  </si>
  <si>
    <t>50052239058</t>
  </si>
  <si>
    <t>IDIB000D686</t>
  </si>
  <si>
    <t>CCHPR1956F</t>
  </si>
  <si>
    <t>303453434553</t>
  </si>
  <si>
    <t>Monotosh</t>
  </si>
  <si>
    <t>Biswajit Sikder</t>
  </si>
  <si>
    <t>1627010118743</t>
  </si>
  <si>
    <t>BNOPS2154K</t>
  </si>
  <si>
    <t>956636523362</t>
  </si>
  <si>
    <t>Prasanta Mondal</t>
  </si>
  <si>
    <t>30021092665</t>
  </si>
  <si>
    <t>SBIN0006701</t>
  </si>
  <si>
    <t>AODPM4931M</t>
  </si>
  <si>
    <t>826257816886</t>
  </si>
  <si>
    <t>Malay Mishra</t>
  </si>
  <si>
    <t xml:space="preserve">Bikash Ch Sarkar </t>
  </si>
  <si>
    <t>Sanjoy Kewat</t>
  </si>
  <si>
    <t>50100181961190</t>
  </si>
  <si>
    <t>HDFC0001130</t>
  </si>
  <si>
    <t>Hdfc Bank</t>
  </si>
  <si>
    <t>CDWPK1738G</t>
  </si>
  <si>
    <t>898978175655</t>
  </si>
  <si>
    <t>Susmita Hati</t>
  </si>
  <si>
    <t>0681201700028984</t>
  </si>
  <si>
    <t>PUNB0068120</t>
  </si>
  <si>
    <t>BNGPH9910L</t>
  </si>
  <si>
    <t>909071383992</t>
  </si>
  <si>
    <t>Krishna Prasad Bag</t>
  </si>
  <si>
    <t>Himanka Jana</t>
  </si>
  <si>
    <t>20883756675</t>
  </si>
  <si>
    <t>IDIB000G602</t>
  </si>
  <si>
    <t>BCCPJ2910B</t>
  </si>
  <si>
    <t>575313249306</t>
  </si>
  <si>
    <t>Subhadip Mandal</t>
  </si>
  <si>
    <t>43647545349</t>
  </si>
  <si>
    <t>SBIN0012453</t>
  </si>
  <si>
    <t>HTFPM6771M</t>
  </si>
  <si>
    <t>368463494773</t>
  </si>
  <si>
    <t>Ranajit Das</t>
  </si>
  <si>
    <t>34085948272</t>
  </si>
  <si>
    <t>SBIN0009712</t>
  </si>
  <si>
    <t>AXTPD1510E</t>
  </si>
  <si>
    <t>720775284182</t>
  </si>
  <si>
    <t>Mitali Bera</t>
  </si>
  <si>
    <t>439310110002083</t>
  </si>
  <si>
    <t>BKID0004393</t>
  </si>
  <si>
    <t>Bank Of India</t>
  </si>
  <si>
    <t>GCOPB7891C</t>
  </si>
  <si>
    <t>474120765014</t>
  </si>
  <si>
    <t>Krishnapada Das Adhikary</t>
  </si>
  <si>
    <t>30545974684</t>
  </si>
  <si>
    <t>SBIN0011387</t>
  </si>
  <si>
    <t>BTSPD8273L</t>
  </si>
  <si>
    <t>307849813256</t>
  </si>
  <si>
    <t>Uttam Das</t>
  </si>
  <si>
    <t>30775209167</t>
  </si>
  <si>
    <t>ARQPD3816Q</t>
  </si>
  <si>
    <t>435589165307</t>
  </si>
  <si>
    <t>Nibadita Giri</t>
  </si>
  <si>
    <t>1047010396004</t>
  </si>
  <si>
    <t>PUNB0104720</t>
  </si>
  <si>
    <t>DXGPG2005F</t>
  </si>
  <si>
    <t>839257941474</t>
  </si>
  <si>
    <t>Siuli Pal</t>
  </si>
  <si>
    <t>40139566797</t>
  </si>
  <si>
    <t>SBIN0008839</t>
  </si>
  <si>
    <t>DJNPP7117L</t>
  </si>
  <si>
    <t>604573836260</t>
  </si>
  <si>
    <t>Sekh Moidul</t>
  </si>
  <si>
    <t>34928344811</t>
  </si>
  <si>
    <t>SBIN0001298</t>
  </si>
  <si>
    <t>BVFPM7179H</t>
  </si>
  <si>
    <t>675740564119</t>
  </si>
  <si>
    <t>Bapan Barman</t>
  </si>
  <si>
    <t>1275010401043</t>
  </si>
  <si>
    <t>PUNB0127520</t>
  </si>
  <si>
    <t>EIHPB7686G</t>
  </si>
  <si>
    <t>436184950313</t>
  </si>
  <si>
    <t>Lakshmi Kanta Nayek</t>
  </si>
  <si>
    <t>1073010103502</t>
  </si>
  <si>
    <t>PUNB0107320</t>
  </si>
  <si>
    <t>BUIPN7788K</t>
  </si>
  <si>
    <t>751426618288</t>
  </si>
  <si>
    <t>Subrata Bera</t>
  </si>
  <si>
    <t>33484218922</t>
  </si>
  <si>
    <t>CDJPB7286H</t>
  </si>
  <si>
    <t>971096266858</t>
  </si>
  <si>
    <t>Rahul Pal</t>
  </si>
  <si>
    <t>59180621127</t>
  </si>
  <si>
    <t>IDIB000G599</t>
  </si>
  <si>
    <t>CINPP1363A</t>
  </si>
  <si>
    <t>813206936201</t>
  </si>
  <si>
    <t>Asit Kumar Mandal</t>
  </si>
  <si>
    <t>58850100000029</t>
  </si>
  <si>
    <t>BARB0RANIHA</t>
  </si>
  <si>
    <t>Bank of Baroda</t>
  </si>
  <si>
    <t>BCGPM4233G</t>
  </si>
  <si>
    <t>216638948418</t>
  </si>
  <si>
    <t>Mousumi Shit</t>
  </si>
  <si>
    <t>2322001500127791</t>
  </si>
  <si>
    <t>PUNB0163000</t>
  </si>
  <si>
    <t>ONVPS1564M</t>
  </si>
  <si>
    <t>806282472269</t>
  </si>
  <si>
    <t>Nabin Bauri</t>
  </si>
  <si>
    <t>1102104000175128</t>
  </si>
  <si>
    <t>IBKL0001192</t>
  </si>
  <si>
    <t>BFQPB8096B</t>
  </si>
  <si>
    <t>869291647717</t>
  </si>
  <si>
    <t>Susanta Thakur</t>
  </si>
  <si>
    <t xml:space="preserve">Dulal Chandra Roy </t>
  </si>
  <si>
    <t>Purusattam Paramanik</t>
  </si>
  <si>
    <t>0711201700049765</t>
  </si>
  <si>
    <t>PUNB0071120</t>
  </si>
  <si>
    <t>CLOPP7021H</t>
  </si>
  <si>
    <t>591852899759</t>
  </si>
  <si>
    <t>Subhas Kumar Singh</t>
  </si>
  <si>
    <t>50170008779079</t>
  </si>
  <si>
    <t>BDBL0001653</t>
  </si>
  <si>
    <t>Bandhan Bank</t>
  </si>
  <si>
    <t>BUIPS8505B</t>
  </si>
  <si>
    <t>475519720317</t>
  </si>
  <si>
    <t>Sikha Majhi</t>
  </si>
  <si>
    <t>59179919603</t>
  </si>
  <si>
    <t>IDIB000B624</t>
  </si>
  <si>
    <t>GEPPM4384L</t>
  </si>
  <si>
    <t>781040665786</t>
  </si>
  <si>
    <t>Prabir Ghosh</t>
  </si>
  <si>
    <t>Surajit Ghosh</t>
  </si>
  <si>
    <t>34767647657</t>
  </si>
  <si>
    <t>SBIN0009698</t>
  </si>
  <si>
    <t>CSHPG2321R</t>
  </si>
  <si>
    <t>394730404619</t>
  </si>
  <si>
    <t>Haradhan Lohar</t>
  </si>
  <si>
    <t>32925727518</t>
  </si>
  <si>
    <t>SBIN0001557</t>
  </si>
  <si>
    <t>AKNPL8778R</t>
  </si>
  <si>
    <t>385647609940</t>
  </si>
  <si>
    <t>Ganesh Bag</t>
  </si>
  <si>
    <t>22348629123</t>
  </si>
  <si>
    <t>IDIB000D533</t>
  </si>
  <si>
    <t>BNJPB5313A</t>
  </si>
  <si>
    <t>641628851176</t>
  </si>
  <si>
    <t>Asima Dutta</t>
  </si>
  <si>
    <t>Sk Rohit Islam</t>
  </si>
  <si>
    <t>33121167561</t>
  </si>
  <si>
    <t>SBIN0007830</t>
  </si>
  <si>
    <t>AREPI2545R</t>
  </si>
  <si>
    <t>648437684199</t>
  </si>
  <si>
    <t>Shampa Das</t>
  </si>
  <si>
    <t>520101247351128</t>
  </si>
  <si>
    <t>UBIN0906891</t>
  </si>
  <si>
    <t>BUTPD8505R</t>
  </si>
  <si>
    <t>833076258298</t>
  </si>
  <si>
    <t>Sayan Das</t>
  </si>
  <si>
    <t>Shipra Das</t>
  </si>
  <si>
    <t>423518210002243</t>
  </si>
  <si>
    <t>BKID0004235</t>
  </si>
  <si>
    <t>Bank of India</t>
  </si>
  <si>
    <t>FGJPD4732A</t>
  </si>
  <si>
    <t>500986604849</t>
  </si>
  <si>
    <t>Chandana Low</t>
  </si>
  <si>
    <t>39484158842</t>
  </si>
  <si>
    <t>SBIN0010222</t>
  </si>
  <si>
    <t>ANDPL0876F</t>
  </si>
  <si>
    <t>518765561522</t>
  </si>
  <si>
    <t>Tanu Das</t>
  </si>
  <si>
    <t>39823406973</t>
  </si>
  <si>
    <t>SBIN0012400</t>
  </si>
  <si>
    <t>ERCPD1576F</t>
  </si>
  <si>
    <t>750739454718</t>
  </si>
  <si>
    <t>Anima Ghosh</t>
  </si>
  <si>
    <t>36612448838</t>
  </si>
  <si>
    <t>SBIN0004777</t>
  </si>
  <si>
    <t>BZQPG5185C</t>
  </si>
  <si>
    <t>568046947589</t>
  </si>
  <si>
    <t>Ranjit Chakraborty</t>
  </si>
  <si>
    <t>20442612001931</t>
  </si>
  <si>
    <t>PUNB0204410</t>
  </si>
  <si>
    <t>CSKPC0275M</t>
  </si>
  <si>
    <t>264565346734</t>
  </si>
  <si>
    <t>Shankari Bag</t>
  </si>
  <si>
    <t>38896367309</t>
  </si>
  <si>
    <t>SBIN0008431</t>
  </si>
  <si>
    <t>GZBPB5950G</t>
  </si>
  <si>
    <t>799406520300</t>
  </si>
  <si>
    <t>Bikram Barman</t>
  </si>
  <si>
    <t>42788710557</t>
  </si>
  <si>
    <t>SBIN0001448</t>
  </si>
  <si>
    <t>HCYPB9153A</t>
  </si>
  <si>
    <t>837796023724</t>
  </si>
  <si>
    <t>Bikash Barman</t>
  </si>
  <si>
    <t xml:space="preserve">Ajit Barman </t>
  </si>
  <si>
    <t xml:space="preserve">Dwip Barman </t>
  </si>
  <si>
    <t>43382217827</t>
  </si>
  <si>
    <t>HQOPB2528H</t>
  </si>
  <si>
    <t>650790182725</t>
  </si>
  <si>
    <t xml:space="preserve">Amit Dutta </t>
  </si>
  <si>
    <t>508310110005615</t>
  </si>
  <si>
    <t>BKID0005083</t>
  </si>
  <si>
    <t>GSGPD3322G</t>
  </si>
  <si>
    <t>462438720918</t>
  </si>
  <si>
    <t>Subrata Sarkar</t>
  </si>
  <si>
    <t>Dipika Bhowmik Dutta</t>
  </si>
  <si>
    <t>1985010179560</t>
  </si>
  <si>
    <t>PUNB0198520</t>
  </si>
  <si>
    <t>EPNPD8762Q</t>
  </si>
  <si>
    <t>460105507930</t>
  </si>
  <si>
    <t>Protap Roy</t>
  </si>
  <si>
    <t>56960100004942</t>
  </si>
  <si>
    <t>BARB0FALAKA</t>
  </si>
  <si>
    <t>DMLPR2259L</t>
  </si>
  <si>
    <t>321341263115</t>
  </si>
  <si>
    <t>Shitali Bhowmik</t>
  </si>
  <si>
    <t>33078268726</t>
  </si>
  <si>
    <t>SBIN0007144</t>
  </si>
  <si>
    <t>HKSPB7485P</t>
  </si>
  <si>
    <t>889753478517</t>
  </si>
  <si>
    <t>Chiranjit Barman</t>
  </si>
  <si>
    <t>33515407610</t>
  </si>
  <si>
    <t>SBIN0015952</t>
  </si>
  <si>
    <t>DIHPB6551H</t>
  </si>
  <si>
    <t>965819186336</t>
  </si>
  <si>
    <t>TOTAL</t>
  </si>
  <si>
    <t>Sup.ID</t>
  </si>
  <si>
    <t>Mobile Number</t>
  </si>
  <si>
    <t>ZM</t>
  </si>
  <si>
    <t>Valid</t>
  </si>
  <si>
    <t>Tds</t>
  </si>
  <si>
    <t>42809691962</t>
  </si>
  <si>
    <t>SBI</t>
  </si>
  <si>
    <t>AYNPG5432F</t>
  </si>
  <si>
    <t>692449347833</t>
  </si>
  <si>
    <t>548502010011252</t>
  </si>
  <si>
    <t>UBIN0554855</t>
  </si>
  <si>
    <t>UNION BANK</t>
  </si>
  <si>
    <t>ATRPN0762G</t>
  </si>
  <si>
    <t>533672370623</t>
  </si>
  <si>
    <t>3401101003075</t>
  </si>
  <si>
    <t>CNRB0003401</t>
  </si>
  <si>
    <t>CANARA BANK</t>
  </si>
  <si>
    <t>BDSPD2760G</t>
  </si>
  <si>
    <t>802213434924</t>
  </si>
  <si>
    <t>41350270788</t>
  </si>
  <si>
    <t>SBIN0008922</t>
  </si>
  <si>
    <t>DAPPM8207M</t>
  </si>
  <si>
    <t>923310086040</t>
  </si>
  <si>
    <t>Less Advance</t>
  </si>
  <si>
    <t>Remark</t>
  </si>
  <si>
    <t>2nd</t>
  </si>
  <si>
    <t>Abu Selim Sk</t>
  </si>
  <si>
    <t>30946791561</t>
  </si>
  <si>
    <t>SBIN0008737</t>
  </si>
  <si>
    <t>GIWPS5808G</t>
  </si>
  <si>
    <t>405553503326</t>
  </si>
  <si>
    <t>Ready to Pay</t>
  </si>
  <si>
    <t>Sipra Pramanik</t>
  </si>
  <si>
    <t>411018210009812</t>
  </si>
  <si>
    <t>BKID0004110</t>
  </si>
  <si>
    <t>HHIPP9216B</t>
  </si>
  <si>
    <t>925567424269</t>
  </si>
  <si>
    <t>Shibu Ghosh</t>
  </si>
  <si>
    <t>424210100036090</t>
  </si>
  <si>
    <t>BKID0004242</t>
  </si>
  <si>
    <t>AMTPG9198G</t>
  </si>
  <si>
    <t>370833075840</t>
  </si>
  <si>
    <t>Dipankar Chandra Das</t>
  </si>
  <si>
    <t>424210110002487</t>
  </si>
  <si>
    <t>AQCPD5082F</t>
  </si>
  <si>
    <t>505059270545</t>
  </si>
  <si>
    <t>Rathin Barui</t>
  </si>
  <si>
    <t>407918210003298</t>
  </si>
  <si>
    <t>BKID0004079</t>
  </si>
  <si>
    <t>BAMPB6461K</t>
  </si>
  <si>
    <t>558640344428</t>
  </si>
  <si>
    <t>76995 65124</t>
  </si>
  <si>
    <t xml:space="preserve">Madhumita Bagdi </t>
  </si>
  <si>
    <t>11600110062356</t>
  </si>
  <si>
    <t>IRMPB6843R</t>
  </si>
  <si>
    <t>838845586416</t>
  </si>
  <si>
    <t>Taslimur Rahaman</t>
  </si>
  <si>
    <t>26820110012864</t>
  </si>
  <si>
    <t>UCBA0002682</t>
  </si>
  <si>
    <t xml:space="preserve">GVFPR8144N </t>
  </si>
  <si>
    <t>854229726244</t>
  </si>
  <si>
    <t>Priyanka Roy</t>
  </si>
  <si>
    <t>056601000013429</t>
  </si>
  <si>
    <t>IOBA0000566</t>
  </si>
  <si>
    <t>Indian Overseas Bank</t>
  </si>
  <si>
    <t>BVYPR8995M</t>
  </si>
  <si>
    <t>211090219933</t>
  </si>
  <si>
    <t>Madhab Das</t>
  </si>
  <si>
    <t>59002450484</t>
  </si>
  <si>
    <t>IDIB000S590</t>
  </si>
  <si>
    <t>BDSPD2507H</t>
  </si>
  <si>
    <t>947180771325</t>
  </si>
  <si>
    <t>Abir Naskar</t>
  </si>
  <si>
    <t>30548100032567</t>
  </si>
  <si>
    <t>BARB0BARUIP</t>
  </si>
  <si>
    <t>BTMPN6329P</t>
  </si>
  <si>
    <t>952137506007</t>
  </si>
  <si>
    <t>Suyurya Ghosh</t>
  </si>
  <si>
    <t>7495082241</t>
  </si>
  <si>
    <t>EBWPG7859E</t>
  </si>
  <si>
    <t>299105942587</t>
  </si>
  <si>
    <t>Faruque Mondal</t>
  </si>
  <si>
    <t>50100384854011</t>
  </si>
  <si>
    <t>HDFC0003474</t>
  </si>
  <si>
    <t>EOQPM5377Q</t>
  </si>
  <si>
    <t>412647764008</t>
  </si>
  <si>
    <t>97322 73309</t>
  </si>
  <si>
    <t>Rishikesh Naskar</t>
  </si>
  <si>
    <t>0970010527545</t>
  </si>
  <si>
    <t>PUNB0097020</t>
  </si>
  <si>
    <t>AIBPN2614E</t>
  </si>
  <si>
    <t>457364768195</t>
  </si>
  <si>
    <t>Jhumpa Garai</t>
  </si>
  <si>
    <t>007699500001220</t>
  </si>
  <si>
    <t>YESB0000076</t>
  </si>
  <si>
    <t>Yes Bank</t>
  </si>
  <si>
    <t>CVAPG0139D</t>
  </si>
  <si>
    <t>251865193449</t>
  </si>
  <si>
    <t>Janmenjoy Barmon</t>
  </si>
  <si>
    <t>35229372471</t>
  </si>
  <si>
    <t>SBIN0016919</t>
  </si>
  <si>
    <t>CALPB9506K</t>
  </si>
  <si>
    <t>981615264036</t>
  </si>
  <si>
    <t>Tanushree Mistry</t>
  </si>
  <si>
    <t>0597010152990</t>
  </si>
  <si>
    <t>PUNB0059720</t>
  </si>
  <si>
    <t>BYUPM8077N</t>
  </si>
  <si>
    <t>420442466510</t>
  </si>
  <si>
    <t>Suman Chatterjee</t>
  </si>
  <si>
    <t>5333010017301</t>
  </si>
  <si>
    <t>AUTPC5454D</t>
  </si>
  <si>
    <t>688572528639</t>
  </si>
  <si>
    <t>Subrata Maiti</t>
  </si>
  <si>
    <t>43643279979</t>
  </si>
  <si>
    <t>HTJPM9654M</t>
  </si>
  <si>
    <t>925342436882</t>
  </si>
  <si>
    <t>Tamal Paul</t>
  </si>
  <si>
    <t>1484001500087015</t>
  </si>
  <si>
    <t>PUNB0148400</t>
  </si>
  <si>
    <t>CRKPP1860J</t>
  </si>
  <si>
    <t>737408114050</t>
  </si>
  <si>
    <t>Jhuma Shit</t>
  </si>
  <si>
    <t>1990010090076</t>
  </si>
  <si>
    <t>PUNB0199020</t>
  </si>
  <si>
    <t>DVMPS5530P</t>
  </si>
  <si>
    <t>293477775921</t>
  </si>
  <si>
    <t>Jayanta Roy</t>
  </si>
  <si>
    <t>44120808106</t>
  </si>
  <si>
    <t>SBIN0018133</t>
  </si>
  <si>
    <t>GGWPR3612D</t>
  </si>
  <si>
    <t>340492895804</t>
  </si>
  <si>
    <t>Avijit Roy</t>
  </si>
  <si>
    <t>6074001500010653</t>
  </si>
  <si>
    <t>PUNB0607400</t>
  </si>
  <si>
    <t>EJUPR1829D</t>
  </si>
  <si>
    <t>912915701796</t>
  </si>
  <si>
    <t>Ratan Roy</t>
  </si>
  <si>
    <t>6074000100051888</t>
  </si>
  <si>
    <t>FAYPR3592F</t>
  </si>
  <si>
    <t>829594209111</t>
  </si>
  <si>
    <t>Ranjit Paul</t>
  </si>
  <si>
    <t>32788359817</t>
  </si>
  <si>
    <t>SBIN0009892</t>
  </si>
  <si>
    <t>CNUPP4298N</t>
  </si>
  <si>
    <t>839544933755</t>
  </si>
  <si>
    <t xml:space="preserve">Amait Gharai </t>
  </si>
  <si>
    <t>Amar Chandara Das</t>
  </si>
  <si>
    <t>34295841783</t>
  </si>
  <si>
    <t>SBIN0002067</t>
  </si>
  <si>
    <t>CJBPD6766N</t>
  </si>
  <si>
    <t>359142734809</t>
  </si>
  <si>
    <t>Pinku Pramanik</t>
  </si>
  <si>
    <t>35017429748</t>
  </si>
  <si>
    <t>SBIN0001742</t>
  </si>
  <si>
    <t>CXNPP3487Q</t>
  </si>
  <si>
    <t>651593046802</t>
  </si>
  <si>
    <t>Soumaya Deep Deshmuk</t>
  </si>
  <si>
    <t>43936209829</t>
  </si>
  <si>
    <t>SBIN0009717</t>
  </si>
  <si>
    <t>KFNPD2902G</t>
  </si>
  <si>
    <t>903988262953</t>
  </si>
  <si>
    <t>Badal Lohar</t>
  </si>
  <si>
    <t>35832669432</t>
  </si>
  <si>
    <t>AOCPL4591F</t>
  </si>
  <si>
    <t>374480263589</t>
  </si>
  <si>
    <t>Tapas Bari</t>
  </si>
  <si>
    <t>34817919887</t>
  </si>
  <si>
    <t>FHHPB8433D</t>
  </si>
  <si>
    <t>434984410978</t>
  </si>
  <si>
    <t>Moushoni Nayek</t>
  </si>
  <si>
    <t>837010231268</t>
  </si>
  <si>
    <t>PUNB0083720</t>
  </si>
  <si>
    <t>DERPN2213E</t>
  </si>
  <si>
    <t>503692127440</t>
  </si>
  <si>
    <t>Akash Jain</t>
  </si>
  <si>
    <t>40007294154</t>
  </si>
  <si>
    <t>SBIN0000225</t>
  </si>
  <si>
    <t>CFSPJ2578H</t>
  </si>
  <si>
    <t>222476502565</t>
  </si>
  <si>
    <t>Kohinur Khatun</t>
  </si>
  <si>
    <t>07050110104125</t>
  </si>
  <si>
    <t>UCBA0000705</t>
  </si>
  <si>
    <t>PMCPK0694D</t>
  </si>
  <si>
    <t>686047031413</t>
  </si>
  <si>
    <t>Amalesh Patra</t>
  </si>
  <si>
    <t>438510110005120</t>
  </si>
  <si>
    <t>BKID0004385</t>
  </si>
  <si>
    <t>BZMPP1236P</t>
  </si>
  <si>
    <t>400723929411</t>
  </si>
  <si>
    <t>Subrata Adhikary</t>
  </si>
  <si>
    <t>Kunal Hambir</t>
  </si>
  <si>
    <t>34027221676</t>
  </si>
  <si>
    <t>SBIN0007205</t>
  </si>
  <si>
    <t>BUTPH7778E</t>
  </si>
  <si>
    <t>883215802361</t>
  </si>
  <si>
    <t>Ananda Ghosh</t>
  </si>
  <si>
    <t>2772000100098406</t>
  </si>
  <si>
    <t>PUNB0277200</t>
  </si>
  <si>
    <t>BPLPG9307P</t>
  </si>
  <si>
    <t>358112210759</t>
  </si>
  <si>
    <t>Ankita Ghosh</t>
  </si>
  <si>
    <t>43253512749</t>
  </si>
  <si>
    <t>SBIN0009033</t>
  </si>
  <si>
    <t>EEMPB2123F</t>
  </si>
  <si>
    <t>769059198638</t>
  </si>
  <si>
    <t>Saibal Ghosh</t>
  </si>
  <si>
    <t>04590110076330</t>
  </si>
  <si>
    <t>UCBA0000459</t>
  </si>
  <si>
    <t xml:space="preserve">Uco Bank </t>
  </si>
  <si>
    <t>CNZPG4955J</t>
  </si>
  <si>
    <t>610848818354</t>
  </si>
  <si>
    <t>Sudipta Deshi</t>
  </si>
  <si>
    <t>34934985982</t>
  </si>
  <si>
    <t>IQZPD5571E</t>
  </si>
  <si>
    <t>591104511144</t>
  </si>
  <si>
    <t>Joysankar Singh</t>
  </si>
  <si>
    <t>50290352333</t>
  </si>
  <si>
    <t>IDIB000T522</t>
  </si>
  <si>
    <t>IOIPS9137G</t>
  </si>
  <si>
    <t>948148350150</t>
  </si>
  <si>
    <t>Md Raj</t>
  </si>
  <si>
    <t>425310510004335</t>
  </si>
  <si>
    <t>BKID0004253</t>
  </si>
  <si>
    <t>ETEPR0837R</t>
  </si>
  <si>
    <t>596340313674</t>
  </si>
  <si>
    <t>Paramita Dhara</t>
  </si>
  <si>
    <t>50179196519</t>
  </si>
  <si>
    <t>IDIB000B572</t>
  </si>
  <si>
    <t>GPVPD6006R</t>
  </si>
  <si>
    <t>804836400488</t>
  </si>
  <si>
    <t>Ajay Das</t>
  </si>
  <si>
    <t>31715807070</t>
  </si>
  <si>
    <t>SBIN0012414</t>
  </si>
  <si>
    <t>CFXPD5524A</t>
  </si>
  <si>
    <t>975135591310</t>
  </si>
  <si>
    <t>Rakib Sarkar</t>
  </si>
  <si>
    <t xml:space="preserve">Khairul Mandal </t>
  </si>
  <si>
    <t>32560200877</t>
  </si>
  <si>
    <t>BXCPM8581J</t>
  </si>
  <si>
    <t>505458928459</t>
  </si>
  <si>
    <t xml:space="preserve">Krishna Chanda </t>
  </si>
  <si>
    <t>31776778737</t>
  </si>
  <si>
    <t>SBIN0011382</t>
  </si>
  <si>
    <t>CHWPC0940G</t>
  </si>
  <si>
    <t>615266946039</t>
  </si>
  <si>
    <t>Amjad Ali Sk</t>
  </si>
  <si>
    <t>30706596586</t>
  </si>
  <si>
    <t>SBIN0003242</t>
  </si>
  <si>
    <t>STATE BANK OF INDIA</t>
  </si>
  <si>
    <t>CHRPS2798R</t>
  </si>
  <si>
    <t>Ready to pay</t>
  </si>
  <si>
    <t>31517188598</t>
  </si>
  <si>
    <t>AZEPP0302K</t>
  </si>
  <si>
    <t>50160000325352</t>
  </si>
  <si>
    <t>BDBL0001758</t>
  </si>
  <si>
    <t>BANDHAN Bank</t>
  </si>
  <si>
    <t>CBGPB5785C</t>
  </si>
  <si>
    <t>425310110003818</t>
  </si>
  <si>
    <t>BOI</t>
  </si>
  <si>
    <t>BVPPA8811G</t>
  </si>
  <si>
    <t>Monotosh Paul</t>
  </si>
  <si>
    <t>3209001500087162</t>
  </si>
  <si>
    <t>PUNB0320900</t>
  </si>
  <si>
    <t>PUNJAB NATIONAL BANK</t>
  </si>
  <si>
    <t>DMPPG5333C</t>
  </si>
  <si>
    <t>5560010054287</t>
  </si>
  <si>
    <t>SBI BANK</t>
  </si>
  <si>
    <t>BIJPB6889C</t>
  </si>
  <si>
    <t>1301010103208</t>
  </si>
  <si>
    <t>PUNB0130120</t>
  </si>
  <si>
    <t>BLYPM6865R</t>
  </si>
  <si>
    <t>Remark-1</t>
  </si>
  <si>
    <t>Link Document</t>
  </si>
  <si>
    <t>Paid on dated 07/11/25</t>
  </si>
  <si>
    <t>Hold</t>
  </si>
  <si>
    <t>Habib Mustufa</t>
  </si>
  <si>
    <t>8006449882</t>
  </si>
  <si>
    <t>GLMPM5506E</t>
  </si>
  <si>
    <t>452630202971</t>
  </si>
  <si>
    <t xml:space="preserve">Paid by Abdul Rakib </t>
  </si>
  <si>
    <t>Paid on dated 14/11/25</t>
  </si>
  <si>
    <t>Oyahed Sk</t>
  </si>
  <si>
    <t>33535678676</t>
  </si>
  <si>
    <t>SBIN0006985</t>
  </si>
  <si>
    <t>OWAPS0817M</t>
  </si>
  <si>
    <t>763433757339</t>
  </si>
  <si>
    <t>Kumkum Ghosh</t>
  </si>
  <si>
    <t>PUNB0207120</t>
  </si>
  <si>
    <t>Details not recevied</t>
  </si>
  <si>
    <t>Chhinihar Bibi Biswas</t>
  </si>
  <si>
    <t>36577029801</t>
  </si>
  <si>
    <t>CXHPB9866M</t>
  </si>
  <si>
    <t>398100930819</t>
  </si>
  <si>
    <t>N</t>
  </si>
  <si>
    <t>TDS dedcution is 20 % as PAN not linked with aadhar</t>
  </si>
  <si>
    <t xml:space="preserve"> AIRP0000001</t>
  </si>
  <si>
    <t>Airtel Payments Bank</t>
  </si>
  <si>
    <t>Srabanti Mondal</t>
  </si>
  <si>
    <t>158301000030906</t>
  </si>
  <si>
    <t>IOBA0001583</t>
  </si>
  <si>
    <t>CLLPM0417M</t>
  </si>
  <si>
    <t>771331777191</t>
  </si>
  <si>
    <t>0</t>
  </si>
  <si>
    <t>Not to pay</t>
  </si>
  <si>
    <t xml:space="preserve">Rahamat Ali </t>
  </si>
  <si>
    <t>11798770956</t>
  </si>
  <si>
    <t>SBIN0008045</t>
  </si>
  <si>
    <t>BANPA7615M</t>
  </si>
  <si>
    <t>854284955720</t>
  </si>
  <si>
    <t>Bank details not visible properly &amp; PAN not linked with aadhar</t>
  </si>
  <si>
    <t xml:space="preserve">Sk Nasibuddin </t>
  </si>
  <si>
    <t>32007146479</t>
  </si>
  <si>
    <t>SBIN0002052</t>
  </si>
  <si>
    <t>BPKPS4622E</t>
  </si>
  <si>
    <t>782252205025</t>
  </si>
  <si>
    <t xml:space="preserve">Rafiul Khan </t>
  </si>
  <si>
    <t>36096777171</t>
  </si>
  <si>
    <t>SBIN0002002</t>
  </si>
  <si>
    <t>MEEPK4348R</t>
  </si>
  <si>
    <t>552879710021</t>
  </si>
  <si>
    <t xml:space="preserve">Malati Pramanik </t>
  </si>
  <si>
    <t>1810200100009240</t>
  </si>
  <si>
    <t>PUNB0181020</t>
  </si>
  <si>
    <t>AMGPP6065L</t>
  </si>
  <si>
    <t>483145687916</t>
  </si>
  <si>
    <t>Mousumi Das</t>
  </si>
  <si>
    <t>33934379560</t>
  </si>
  <si>
    <t>SBIN0002043</t>
  </si>
  <si>
    <t>BWSPD9715N</t>
  </si>
  <si>
    <t>302465575528</t>
  </si>
  <si>
    <t xml:space="preserve">Paid by Sibsankar Giri </t>
  </si>
  <si>
    <t>Priyanka Pramanik</t>
  </si>
  <si>
    <t>50394210631</t>
  </si>
  <si>
    <t>CRIPP4106M</t>
  </si>
  <si>
    <t>326289574157</t>
  </si>
  <si>
    <t>Sanjit Das</t>
  </si>
  <si>
    <t>Bulbuli Saha</t>
  </si>
  <si>
    <t>0330010497664</t>
  </si>
  <si>
    <t>PUNB0033020</t>
  </si>
  <si>
    <t>QZOPS5195H</t>
  </si>
  <si>
    <t>903451177621</t>
  </si>
  <si>
    <t>Shipra Ghosh</t>
  </si>
  <si>
    <t>50200016478253</t>
  </si>
  <si>
    <t>BDBL0001042</t>
  </si>
  <si>
    <t>BDPPG1462B</t>
  </si>
  <si>
    <t>891942119896</t>
  </si>
  <si>
    <t>Sudipta Mondal</t>
  </si>
  <si>
    <t>50220019963641</t>
  </si>
  <si>
    <t>BDBL0001067</t>
  </si>
  <si>
    <t>FARPM7646N</t>
  </si>
  <si>
    <t>279120643003</t>
  </si>
  <si>
    <t>Amal Nayak</t>
  </si>
  <si>
    <t>6866359552</t>
  </si>
  <si>
    <t>IDIB000B140</t>
  </si>
  <si>
    <t>CDGPN4545L</t>
  </si>
  <si>
    <t>364167618341</t>
  </si>
  <si>
    <t>Mira Barai</t>
  </si>
  <si>
    <t>34399074827</t>
  </si>
  <si>
    <t>SBIN0014052</t>
  </si>
  <si>
    <t>CVYPB0904M</t>
  </si>
  <si>
    <t>957381399818</t>
  </si>
  <si>
    <t>Nitu Das</t>
  </si>
  <si>
    <t>40910100001935</t>
  </si>
  <si>
    <t>BARB0BUDGEB</t>
  </si>
  <si>
    <t>BXTPD7041K</t>
  </si>
  <si>
    <t>976694283905</t>
  </si>
  <si>
    <t>Ratan Banerjee</t>
  </si>
  <si>
    <t>20081899911</t>
  </si>
  <si>
    <t>IDIB000B023</t>
  </si>
  <si>
    <t>CJLPB5200P</t>
  </si>
  <si>
    <t>662311942297</t>
  </si>
  <si>
    <t>Mamata Rani Nayak</t>
  </si>
  <si>
    <t>548502010019608</t>
  </si>
  <si>
    <t>BKRPN5426R</t>
  </si>
  <si>
    <t>586948952371</t>
  </si>
  <si>
    <t>Priyanka Nayak</t>
  </si>
  <si>
    <t>FINO0000001</t>
  </si>
  <si>
    <t>Fino Bank</t>
  </si>
  <si>
    <t>CVIPN7238Q</t>
  </si>
  <si>
    <t>Sharmila Biswas</t>
  </si>
  <si>
    <t>7736868415</t>
  </si>
  <si>
    <t>IDIB000D580</t>
  </si>
  <si>
    <t>BVYPB7525F</t>
  </si>
  <si>
    <t>863951922572</t>
  </si>
  <si>
    <t>Nikhil Cnandra Das</t>
  </si>
  <si>
    <t>135030049237</t>
  </si>
  <si>
    <t>WBSC0BUCB02</t>
  </si>
  <si>
    <t>B N Co-Operative Bank</t>
  </si>
  <si>
    <t>CMLPD6686E</t>
  </si>
  <si>
    <t>852530717215</t>
  </si>
  <si>
    <t>Kartik Chandra Bagdi</t>
  </si>
  <si>
    <t>39626223510</t>
  </si>
  <si>
    <t>SBIN0008064</t>
  </si>
  <si>
    <t>AQXPB2640N</t>
  </si>
  <si>
    <t>413187579235</t>
  </si>
  <si>
    <t>Mijarul Saikh</t>
  </si>
  <si>
    <t>JIOP0000001</t>
  </si>
  <si>
    <t>Jio Payment Bank</t>
  </si>
  <si>
    <t>PJGPS0663R</t>
  </si>
  <si>
    <t xml:space="preserve">Sk Mintu Raj </t>
  </si>
  <si>
    <t>Rokibul Biswas</t>
  </si>
  <si>
    <t>HLQPB0540A</t>
  </si>
  <si>
    <t>Ferdus Biswas</t>
  </si>
  <si>
    <t>HILPB0772A</t>
  </si>
  <si>
    <t>Saddam Hossain Biswas</t>
  </si>
  <si>
    <t>DYZPB9947M</t>
  </si>
  <si>
    <t>Masud Rana Biswas</t>
  </si>
  <si>
    <t xml:space="preserve">JIOP0000001 </t>
  </si>
  <si>
    <t>HEVPB3199P</t>
  </si>
  <si>
    <t>Jamuna Rana</t>
  </si>
  <si>
    <t>1990010028468</t>
  </si>
  <si>
    <t>EAZPR6877M</t>
  </si>
  <si>
    <t>881574983528</t>
  </si>
  <si>
    <t xml:space="preserve">Paid by Bikash Ch Sarkar </t>
  </si>
  <si>
    <t>Chandan Chakraborty</t>
  </si>
  <si>
    <t>3210000100118254</t>
  </si>
  <si>
    <t>PUNB0321000</t>
  </si>
  <si>
    <t>BDMPC2256G</t>
  </si>
  <si>
    <t>267880165942</t>
  </si>
  <si>
    <t xml:space="preserve">Shubendu Sadhukha </t>
  </si>
  <si>
    <t>429810100051637</t>
  </si>
  <si>
    <t>BKID0004298</t>
  </si>
  <si>
    <t>GZYPS5079C</t>
  </si>
  <si>
    <t>640161710342</t>
  </si>
  <si>
    <t xml:space="preserve">Sandip Saha </t>
  </si>
  <si>
    <t>44366984671</t>
  </si>
  <si>
    <t>FICPS9222P</t>
  </si>
  <si>
    <t>757077766757</t>
  </si>
  <si>
    <t>CPYPG7606H</t>
  </si>
  <si>
    <t>Duplicate</t>
  </si>
  <si>
    <t>SBIN0009898</t>
  </si>
  <si>
    <t>Biswajit Shit</t>
  </si>
  <si>
    <t>0696010284561</t>
  </si>
  <si>
    <t>PUNB0069620</t>
  </si>
  <si>
    <t>IAWPS2570D</t>
  </si>
  <si>
    <t>989604263269</t>
  </si>
  <si>
    <t>Niranjan Chakrabroti</t>
  </si>
  <si>
    <t>Amit Sarkar</t>
  </si>
  <si>
    <t>Arjun Hasda</t>
  </si>
  <si>
    <t>Aliraj Chowdhury</t>
  </si>
  <si>
    <t>41401811442</t>
  </si>
  <si>
    <t>SBIN0012461</t>
  </si>
  <si>
    <t>COZPC5145K</t>
  </si>
  <si>
    <t>Sufal Hasda</t>
  </si>
  <si>
    <t>39571762721</t>
  </si>
  <si>
    <t>SBIN0008928</t>
  </si>
  <si>
    <t>BEGPH2498N</t>
  </si>
  <si>
    <t xml:space="preserve">Raju Barua </t>
  </si>
  <si>
    <t xml:space="preserve">Ranjit Barua </t>
  </si>
  <si>
    <t>Kush Das</t>
  </si>
  <si>
    <t>110162460024</t>
  </si>
  <si>
    <t>CNRB0005719</t>
  </si>
  <si>
    <t>Canara Bank</t>
  </si>
  <si>
    <t>HFWPD8262R</t>
  </si>
  <si>
    <t>Uttam Kumar Mardi</t>
  </si>
  <si>
    <t>Kanak Das Mallik</t>
  </si>
  <si>
    <t>DAWPD7328R</t>
  </si>
  <si>
    <t>755151255213</t>
  </si>
  <si>
    <t>Bank details not visible properly</t>
  </si>
  <si>
    <t xml:space="preserve">Tapash Roy </t>
  </si>
  <si>
    <t>Amit Thakur</t>
  </si>
  <si>
    <t>0711010310390</t>
  </si>
  <si>
    <t>AXIPT9461H</t>
  </si>
  <si>
    <t>957596759882</t>
  </si>
  <si>
    <t xml:space="preserve">Paid by Dulal Chandra Roy </t>
  </si>
  <si>
    <t>33583939869</t>
  </si>
  <si>
    <t>702630930132</t>
  </si>
  <si>
    <t>Jadunath Modak</t>
  </si>
  <si>
    <t>SBIN0000023</t>
  </si>
  <si>
    <t>FCRPM8758H</t>
  </si>
  <si>
    <t>Details not matching</t>
  </si>
  <si>
    <t>Sourav Dutta</t>
  </si>
  <si>
    <t>20200079182560</t>
  </si>
  <si>
    <t>BDBL0002221</t>
  </si>
  <si>
    <t xml:space="preserve">Bandhan Bank </t>
  </si>
  <si>
    <t>no pan</t>
  </si>
  <si>
    <t>385340945529</t>
  </si>
  <si>
    <t>PAN Not Available</t>
  </si>
  <si>
    <t>Tumpa Ghosh</t>
  </si>
  <si>
    <t>40372553929</t>
  </si>
  <si>
    <t>458275236070</t>
  </si>
  <si>
    <t>Suman Ghorui</t>
  </si>
  <si>
    <t>5436529602</t>
  </si>
  <si>
    <t>CBIN0283989</t>
  </si>
  <si>
    <t xml:space="preserve">Central Bank Of India </t>
  </si>
  <si>
    <t>739444699356</t>
  </si>
  <si>
    <t>Sk Md Imran</t>
  </si>
  <si>
    <t>33307099702</t>
  </si>
  <si>
    <t>SBIN0002033</t>
  </si>
  <si>
    <t>ADKPI0912L</t>
  </si>
  <si>
    <t>645942322425</t>
  </si>
  <si>
    <t>Sahin Nazrul</t>
  </si>
  <si>
    <t>32998866624</t>
  </si>
  <si>
    <t>ATTPN5328A</t>
  </si>
  <si>
    <t>354646623644</t>
  </si>
  <si>
    <t>Subhankar Dutta</t>
  </si>
  <si>
    <t>00448100005703</t>
  </si>
  <si>
    <t>BARB0DUGAP</t>
  </si>
  <si>
    <t>BYEPD3423K</t>
  </si>
  <si>
    <t>780579406846</t>
  </si>
  <si>
    <t>Payment Failed</t>
  </si>
  <si>
    <t>Naresh Sarkar</t>
  </si>
  <si>
    <t>425310110006154</t>
  </si>
  <si>
    <t>GVLPS7814G</t>
  </si>
  <si>
    <t>387665790962</t>
  </si>
  <si>
    <t>Sujit Halder</t>
  </si>
  <si>
    <t>37934405719</t>
  </si>
  <si>
    <t>SBIN0001865</t>
  </si>
  <si>
    <t>ATYPH0637D</t>
  </si>
  <si>
    <t>660972802480</t>
  </si>
  <si>
    <t>Rohit Singh</t>
  </si>
  <si>
    <t>539902120004131</t>
  </si>
  <si>
    <t>UBIN0553999</t>
  </si>
  <si>
    <t>RXXPS2359F</t>
  </si>
  <si>
    <t xml:space="preserve">Subrata </t>
  </si>
  <si>
    <t>UID not available</t>
  </si>
  <si>
    <t>Dipayan Roy</t>
  </si>
  <si>
    <t>435310110004810</t>
  </si>
  <si>
    <t>BKID0004353</t>
  </si>
  <si>
    <t>EUBPR4548P</t>
  </si>
  <si>
    <t>Shibu Roy</t>
  </si>
  <si>
    <t>31038185873</t>
  </si>
  <si>
    <t>FEPPR7620K</t>
  </si>
  <si>
    <t>619054568341</t>
  </si>
  <si>
    <t>Dipak Roy</t>
  </si>
  <si>
    <t>0393010109114</t>
  </si>
  <si>
    <t>PUNB0039320</t>
  </si>
  <si>
    <t>DFDPR0143J</t>
  </si>
  <si>
    <t>942921517822</t>
  </si>
  <si>
    <t xml:space="preserve">Debparata Roy </t>
  </si>
  <si>
    <t>0493201700112611</t>
  </si>
  <si>
    <t>PUNB0049320</t>
  </si>
  <si>
    <t>FJNPR2927E</t>
  </si>
  <si>
    <t>446341586061</t>
  </si>
  <si>
    <t>Horgobinda Singha</t>
  </si>
  <si>
    <t>CBIN0283060</t>
  </si>
  <si>
    <t>JJMPS1113J</t>
  </si>
  <si>
    <t>All document missing</t>
  </si>
  <si>
    <t>Ashish Sarkar</t>
  </si>
  <si>
    <t>SBIN0012409</t>
  </si>
  <si>
    <t>HCHPS1254L</t>
  </si>
  <si>
    <t>Kaushik Dutta</t>
  </si>
  <si>
    <t>3222122368</t>
  </si>
  <si>
    <t>CBIN0282630</t>
  </si>
  <si>
    <t>ANKPD1317J</t>
  </si>
  <si>
    <t xml:space="preserve">Arun Kumar Sarkar </t>
  </si>
  <si>
    <t>2605001700186695</t>
  </si>
  <si>
    <t>PUNB0260500</t>
  </si>
  <si>
    <t>495910073861</t>
  </si>
  <si>
    <t>Please provide soft copy of PAN</t>
  </si>
  <si>
    <t xml:space="preserve">Acount Number </t>
  </si>
  <si>
    <t xml:space="preserve">IFSC code </t>
  </si>
  <si>
    <t xml:space="preserve">Bank Name </t>
  </si>
  <si>
    <t xml:space="preserve">PAN number </t>
  </si>
  <si>
    <t>Link</t>
  </si>
  <si>
    <t>629237528691</t>
  </si>
  <si>
    <t>59012125340</t>
  </si>
  <si>
    <t>IDIB000B863</t>
  </si>
  <si>
    <t>INDIAN BANK</t>
  </si>
  <si>
    <t>HGTPS3114R</t>
  </si>
  <si>
    <t>765595342152</t>
  </si>
  <si>
    <t>20% Tds Dedcution as PAN not linked</t>
  </si>
  <si>
    <t xml:space="preserve">Paid by Abdur Rakib </t>
  </si>
  <si>
    <t>841505301907</t>
  </si>
  <si>
    <t>Worked with two zonal manager</t>
  </si>
  <si>
    <t>519560160149</t>
  </si>
  <si>
    <t>35253915216</t>
  </si>
  <si>
    <t>SBIN0009702</t>
  </si>
  <si>
    <t xml:space="preserve">State Bank of India </t>
  </si>
  <si>
    <t>BTXPB8646N</t>
  </si>
  <si>
    <t>434170203626</t>
  </si>
  <si>
    <t>DSEPS3512N</t>
  </si>
  <si>
    <t>Details not available</t>
  </si>
  <si>
    <t>3469953540</t>
  </si>
  <si>
    <t>CBIN0281408</t>
  </si>
  <si>
    <t xml:space="preserve">Central Bank of India </t>
  </si>
  <si>
    <t>CDMPS4147R</t>
  </si>
  <si>
    <t>252857181877</t>
  </si>
  <si>
    <t>97499 51254</t>
  </si>
  <si>
    <t>IDIB000G074</t>
  </si>
  <si>
    <t>CQBPD9560R</t>
  </si>
  <si>
    <t>501983995860</t>
  </si>
  <si>
    <t>883919809144</t>
  </si>
  <si>
    <t>AINPT3034E</t>
  </si>
  <si>
    <t>383257685091</t>
  </si>
  <si>
    <t>Paid by Dulal ch Roy</t>
  </si>
  <si>
    <t>39061856064</t>
  </si>
  <si>
    <t>SBIN0014543</t>
  </si>
  <si>
    <t>GFXPD0321D</t>
  </si>
  <si>
    <t>257989928101</t>
  </si>
  <si>
    <t>Sandip Jana</t>
  </si>
  <si>
    <t>20469333889</t>
  </si>
  <si>
    <t>SBIN0014037</t>
  </si>
  <si>
    <t>BSIPJ6437M</t>
  </si>
  <si>
    <t>635253209785</t>
  </si>
  <si>
    <t>742050741600</t>
  </si>
  <si>
    <t xml:space="preserve">Bikash Chandra Sarkar </t>
  </si>
  <si>
    <t>981791569718</t>
  </si>
  <si>
    <t>SBIN0010093</t>
  </si>
  <si>
    <t>BAJPS8229K</t>
  </si>
  <si>
    <t>887277076923</t>
  </si>
  <si>
    <t>679053840397</t>
  </si>
  <si>
    <t>Sno.</t>
  </si>
  <si>
    <t>Counts</t>
  </si>
  <si>
    <t>Interviewer Payment</t>
  </si>
  <si>
    <t>Supervisor Payments</t>
  </si>
  <si>
    <t>Interviewer Advance</t>
  </si>
  <si>
    <t>Supervisor Advance</t>
  </si>
  <si>
    <t>Sup+ Int Payment</t>
  </si>
  <si>
    <t>Sup+Int Advance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</si>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</sst>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10"/>
      <name val="Cambria"/>
      <family val="1"/>
    </font>
    <font>
      <sz val="10"/>
      <color rgb="FFFF0000"/>
      <name val="Cambria"/>
      <family val="1"/>
    </font>
    <font>
      <b/>
      <sz val="10"/>
      <color rgb="FFFF0000"/>
      <name val="Cambria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19" fillId="0" borderId="10" xfId="0" applyFont="1" applyBorder="1" applyAlignment="1">
      <alignment horizontal="center"/>
    </xf>
    <xf numFmtId="0" fontId="19" fillId="0" borderId="10" xfId="0" applyFont="1" applyBorder="1"/>
    <xf numFmtId="1" fontId="19" fillId="0" borderId="10" xfId="0" applyNumberFormat="1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18" fillId="35" borderId="10" xfId="0" applyFont="1" applyFill="1" applyBorder="1" applyAlignment="1">
      <alignment horizontal="left"/>
    </xf>
    <xf numFmtId="0" fontId="18" fillId="35" borderId="10" xfId="0" applyFont="1" applyFill="1" applyBorder="1" applyAlignment="1">
      <alignment horizontal="left" wrapText="1"/>
    </xf>
    <xf numFmtId="0" fontId="18" fillId="35" borderId="10" xfId="0" applyFont="1" applyFill="1" applyBorder="1" applyAlignment="1">
      <alignment horizontal="center"/>
    </xf>
    <xf numFmtId="0" fontId="18" fillId="35" borderId="10" xfId="0" applyFont="1" applyFill="1" applyBorder="1"/>
    <xf numFmtId="164" fontId="19" fillId="0" borderId="10" xfId="43" applyNumberFormat="1" applyFont="1" applyFill="1" applyBorder="1" applyAlignment="1"/>
    <xf numFmtId="164" fontId="19" fillId="0" borderId="10" xfId="43" applyNumberFormat="1" applyFont="1" applyFill="1" applyBorder="1" applyAlignment="1">
      <alignment vertical="top"/>
    </xf>
    <xf numFmtId="0" fontId="19" fillId="33" borderId="10" xfId="0" applyFont="1" applyFill="1" applyBorder="1" applyAlignment="1">
      <alignment horizontal="center"/>
    </xf>
    <xf numFmtId="0" fontId="19" fillId="33" borderId="10" xfId="0" applyFont="1" applyFill="1" applyBorder="1"/>
    <xf numFmtId="0" fontId="19" fillId="34" borderId="10" xfId="0" applyFont="1" applyFill="1" applyBorder="1"/>
    <xf numFmtId="0" fontId="19" fillId="0" borderId="0" xfId="0" applyFont="1"/>
    <xf numFmtId="0" fontId="18" fillId="0" borderId="10" xfId="0" applyFont="1" applyBorder="1"/>
    <xf numFmtId="0" fontId="19" fillId="0" borderId="0" xfId="0" applyFont="1" applyAlignment="1">
      <alignment horizontal="center"/>
    </xf>
    <xf numFmtId="164" fontId="18" fillId="0" borderId="10" xfId="43" applyNumberFormat="1" applyFont="1" applyFill="1" applyBorder="1" applyAlignment="1"/>
    <xf numFmtId="0" fontId="18" fillId="0" borderId="10" xfId="0" applyFont="1" applyBorder="1" applyAlignment="1">
      <alignment horizontal="center"/>
    </xf>
    <xf numFmtId="164" fontId="18" fillId="0" borderId="10" xfId="43" applyNumberFormat="1" applyFont="1" applyFill="1" applyBorder="1" applyAlignment="1">
      <alignment horizontal="center"/>
    </xf>
    <xf numFmtId="1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164" fontId="18" fillId="0" borderId="10" xfId="0" applyNumberFormat="1" applyFont="1" applyBorder="1"/>
    <xf numFmtId="1" fontId="19" fillId="0" borderId="10" xfId="0" quotePrefix="1" applyNumberFormat="1" applyFont="1" applyBorder="1" applyAlignment="1">
      <alignment horizontal="left"/>
    </xf>
    <xf numFmtId="164" fontId="21" fillId="0" borderId="10" xfId="43" applyNumberFormat="1" applyFont="1" applyFill="1" applyBorder="1" applyAlignment="1"/>
    <xf numFmtId="0" fontId="19" fillId="0" borderId="10" xfId="0" quotePrefix="1" applyFont="1" applyBorder="1" applyAlignment="1">
      <alignment horizontal="left"/>
    </xf>
    <xf numFmtId="0" fontId="18" fillId="0" borderId="10" xfId="0" applyFont="1" applyBorder="1" applyAlignment="1">
      <alignment horizontal="center" vertical="center" wrapText="1"/>
    </xf>
    <xf numFmtId="1" fontId="18" fillId="0" borderId="10" xfId="0" applyNumberFormat="1" applyFont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/>
    </xf>
    <xf numFmtId="0" fontId="19" fillId="36" borderId="10" xfId="0" applyFont="1" applyFill="1" applyBorder="1"/>
    <xf numFmtId="1" fontId="19" fillId="36" borderId="10" xfId="0" quotePrefix="1" applyNumberFormat="1" applyFont="1" applyFill="1" applyBorder="1" applyAlignment="1">
      <alignment horizontal="left"/>
    </xf>
    <xf numFmtId="0" fontId="19" fillId="36" borderId="10" xfId="0" applyFont="1" applyFill="1" applyBorder="1" applyAlignment="1">
      <alignment horizontal="left"/>
    </xf>
    <xf numFmtId="0" fontId="19" fillId="36" borderId="10" xfId="0" quotePrefix="1" applyFont="1" applyFill="1" applyBorder="1" applyAlignment="1">
      <alignment horizontal="left"/>
    </xf>
    <xf numFmtId="164" fontId="19" fillId="36" borderId="10" xfId="43" applyNumberFormat="1" applyFont="1" applyFill="1" applyBorder="1" applyAlignment="1"/>
    <xf numFmtId="0" fontId="19" fillId="0" borderId="0" xfId="0" applyFont="1" applyAlignment="1">
      <alignment horizontal="center" vertical="center" wrapText="1"/>
    </xf>
    <xf numFmtId="0" fontId="19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left" vertical="top"/>
    </xf>
    <xf numFmtId="0" fontId="20" fillId="0" borderId="10" xfId="0" applyFont="1" applyBorder="1" applyAlignment="1">
      <alignment horizontal="left" vertical="top"/>
    </xf>
    <xf numFmtId="0" fontId="18" fillId="35" borderId="10" xfId="0" applyFont="1" applyFill="1" applyBorder="1" applyAlignment="1">
      <alignment horizontal="center" wrapText="1"/>
    </xf>
    <xf numFmtId="0" fontId="20" fillId="0" borderId="10" xfId="0" applyFont="1" applyBorder="1" applyAlignment="1">
      <alignment horizontal="center" vertical="top"/>
    </xf>
    <xf numFmtId="0" fontId="19" fillId="0" borderId="10" xfId="0" applyFont="1" applyBorder="1" applyAlignment="1">
      <alignment horizontal="center" vertical="top"/>
    </xf>
    <xf numFmtId="164" fontId="22" fillId="0" borderId="10" xfId="43" applyNumberFormat="1" applyFont="1" applyFill="1" applyBorder="1" applyAlignment="1"/>
    <xf numFmtId="0" fontId="19" fillId="0" borderId="0" xfId="0" applyFont="1" applyAlignment="1">
      <alignment vertical="center"/>
    </xf>
    <xf numFmtId="0" fontId="18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left" vertical="top"/>
    </xf>
    <xf numFmtId="0" fontId="20" fillId="0" borderId="10" xfId="0" quotePrefix="1" applyFont="1" applyBorder="1" applyAlignment="1">
      <alignment horizontal="left" vertical="top"/>
    </xf>
    <xf numFmtId="0" fontId="19" fillId="0" borderId="10" xfId="42" applyFont="1" applyBorder="1" applyAlignment="1">
      <alignment horizontal="left" vertical="top"/>
    </xf>
    <xf numFmtId="0" fontId="19" fillId="0" borderId="10" xfId="42" quotePrefix="1" applyFont="1" applyBorder="1" applyAlignment="1">
      <alignment horizontal="left"/>
    </xf>
    <xf numFmtId="0" fontId="19" fillId="0" borderId="10" xfId="42" applyFont="1" applyBorder="1" applyAlignment="1">
      <alignment horizontal="left"/>
    </xf>
    <xf numFmtId="0" fontId="19" fillId="0" borderId="10" xfId="42" applyFont="1" applyBorder="1" applyAlignment="1">
      <alignment horizontal="center"/>
    </xf>
    <xf numFmtId="164" fontId="19" fillId="0" borderId="10" xfId="43" quotePrefix="1" applyNumberFormat="1" applyFont="1" applyFill="1" applyBorder="1" applyAlignment="1">
      <alignment vertical="top"/>
    </xf>
    <xf numFmtId="0" fontId="18" fillId="0" borderId="10" xfId="0" applyFont="1" applyBorder="1" applyAlignment="1">
      <alignment horizontal="left"/>
    </xf>
    <xf numFmtId="164" fontId="18" fillId="0" borderId="10" xfId="0" applyNumberFormat="1" applyFont="1" applyBorder="1" applyAlignment="1">
      <alignment horizontal="center"/>
    </xf>
    <xf numFmtId="164" fontId="19" fillId="0" borderId="0" xfId="0" applyNumberFormat="1" applyFont="1"/>
    <xf numFmtId="0" fontId="19" fillId="36" borderId="0" xfId="0" applyFont="1" applyFill="1"/>
    <xf numFmtId="0" fontId="19" fillId="37" borderId="10" xfId="0" applyFont="1" applyFill="1" applyBorder="1" applyAlignment="1">
      <alignment horizontal="center"/>
    </xf>
    <xf numFmtId="0" fontId="19" fillId="37" borderId="10" xfId="0" applyFont="1" applyFill="1" applyBorder="1"/>
    <xf numFmtId="0" fontId="19" fillId="37" borderId="10" xfId="0" applyFont="1" applyFill="1" applyBorder="1" applyAlignment="1">
      <alignment horizontal="left"/>
    </xf>
    <xf numFmtId="0" fontId="19" fillId="37" borderId="10" xfId="0" quotePrefix="1" applyFont="1" applyFill="1" applyBorder="1" applyAlignment="1">
      <alignment horizontal="left"/>
    </xf>
    <xf numFmtId="164" fontId="19" fillId="37" borderId="10" xfId="43" applyNumberFormat="1" applyFont="1" applyFill="1" applyBorder="1" applyAlignment="1"/>
    <xf numFmtId="0" fontId="19" fillId="37" borderId="0" xfId="0" applyFont="1" applyFill="1"/>
    <xf numFmtId="1" fontId="19" fillId="37" borderId="10" xfId="0" applyNumberFormat="1" applyFont="1" applyFill="1" applyBorder="1" applyAlignment="1">
      <alignment horizontal="left"/>
    </xf>
    <xf numFmtId="0" fontId="21" fillId="37" borderId="10" xfId="0" applyFont="1" applyFill="1" applyBorder="1" applyAlignment="1">
      <alignment horizontal="center"/>
    </xf>
    <xf numFmtId="164" fontId="21" fillId="37" borderId="10" xfId="43" applyNumberFormat="1" applyFont="1" applyFill="1" applyBorder="1" applyAlignment="1"/>
    <xf numFmtId="1" fontId="19" fillId="0" borderId="10" xfId="0" quotePrefix="1" applyNumberFormat="1" applyFont="1" applyBorder="1" applyAlignment="1">
      <alignment horizontal="left" vertical="top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36" borderId="10" xfId="42" quotePrefix="1" applyFont="1" applyFill="1" applyBorder="1" applyAlignment="1">
      <alignment horizontal="left"/>
    </xf>
    <xf numFmtId="0" fontId="19" fillId="36" borderId="10" xfId="0" applyFont="1" applyFill="1" applyBorder="1" applyAlignment="1">
      <alignment horizontal="left" vertical="top"/>
    </xf>
    <xf numFmtId="0" fontId="20" fillId="36" borderId="10" xfId="0" applyFont="1" applyFill="1" applyBorder="1" applyAlignment="1">
      <alignment horizontal="left" vertical="top"/>
    </xf>
    <xf numFmtId="0" fontId="20" fillId="36" borderId="10" xfId="0" quotePrefix="1" applyFont="1" applyFill="1" applyBorder="1" applyAlignment="1">
      <alignment horizontal="left" vertical="top"/>
    </xf>
    <xf numFmtId="0" fontId="20" fillId="36" borderId="10" xfId="0" applyFont="1" applyFill="1" applyBorder="1" applyAlignment="1">
      <alignment horizontal="center" vertical="top"/>
    </xf>
    <xf numFmtId="164" fontId="19" fillId="36" borderId="10" xfId="43" applyNumberFormat="1" applyFont="1" applyFill="1" applyBorder="1" applyAlignment="1">
      <alignment vertical="top"/>
    </xf>
    <xf numFmtId="0" fontId="19" fillId="36" borderId="10" xfId="42" applyFont="1" applyFill="1" applyBorder="1" applyAlignment="1">
      <alignment horizontal="left" vertical="top"/>
    </xf>
    <xf numFmtId="0" fontId="19" fillId="36" borderId="10" xfId="42" applyFont="1" applyFill="1" applyBorder="1" applyAlignment="1">
      <alignment horizontal="left"/>
    </xf>
    <xf numFmtId="0" fontId="19" fillId="36" borderId="10" xfId="42" applyFont="1" applyFill="1" applyBorder="1" applyAlignment="1">
      <alignment horizontal="center"/>
    </xf>
    <xf numFmtId="164" fontId="19" fillId="36" borderId="10" xfId="43" quotePrefix="1" applyNumberFormat="1" applyFont="1" applyFill="1" applyBorder="1" applyAlignment="1">
      <alignment vertical="top"/>
    </xf>
    <xf numFmtId="0" fontId="19" fillId="36" borderId="10" xfId="0" quotePrefix="1" applyFont="1" applyFill="1" applyBorder="1" applyAlignment="1">
      <alignment horizontal="left" vertical="top"/>
    </xf>
    <xf numFmtId="0" fontId="19" fillId="36" borderId="10" xfId="0" applyFont="1" applyFill="1" applyBorder="1" applyAlignment="1">
      <alignment horizontal="center" vertical="top"/>
    </xf>
    <xf numFmtId="1" fontId="19" fillId="36" borderId="10" xfId="0" applyNumberFormat="1" applyFont="1" applyFill="1" applyBorder="1" applyAlignment="1">
      <alignment horizontal="left" vertical="top"/>
    </xf>
    <xf numFmtId="0" fontId="19" fillId="37" borderId="10" xfId="0" applyFont="1" applyFill="1" applyBorder="1" applyAlignment="1">
      <alignment horizontal="left" vertical="top"/>
    </xf>
    <xf numFmtId="1" fontId="19" fillId="37" borderId="10" xfId="0" quotePrefix="1" applyNumberFormat="1" applyFont="1" applyFill="1" applyBorder="1" applyAlignment="1">
      <alignment horizontal="left" vertical="top"/>
    </xf>
    <xf numFmtId="0" fontId="19" fillId="37" borderId="10" xfId="0" quotePrefix="1" applyFont="1" applyFill="1" applyBorder="1" applyAlignment="1">
      <alignment horizontal="left" vertical="top"/>
    </xf>
    <xf numFmtId="0" fontId="19" fillId="37" borderId="10" xfId="0" applyFont="1" applyFill="1" applyBorder="1" applyAlignment="1">
      <alignment horizontal="center" vertical="top"/>
    </xf>
    <xf numFmtId="164" fontId="19" fillId="37" borderId="10" xfId="43" applyNumberFormat="1" applyFont="1" applyFill="1" applyBorder="1" applyAlignment="1">
      <alignment vertical="top"/>
    </xf>
    <xf numFmtId="0" fontId="19" fillId="37" borderId="10" xfId="42" applyFont="1" applyFill="1" applyBorder="1" applyAlignment="1">
      <alignment horizontal="left" vertical="top"/>
    </xf>
    <xf numFmtId="0" fontId="19" fillId="37" borderId="10" xfId="42" quotePrefix="1" applyFont="1" applyFill="1" applyBorder="1" applyAlignment="1">
      <alignment horizontal="left"/>
    </xf>
    <xf numFmtId="0" fontId="19" fillId="37" borderId="10" xfId="42" applyFont="1" applyFill="1" applyBorder="1" applyAlignment="1">
      <alignment horizontal="left"/>
    </xf>
    <xf numFmtId="0" fontId="19" fillId="37" borderId="10" xfId="42" applyFont="1" applyFill="1" applyBorder="1" applyAlignment="1">
      <alignment horizontal="center"/>
    </xf>
    <xf numFmtId="0" fontId="21" fillId="37" borderId="10" xfId="42" applyFont="1" applyFill="1" applyBorder="1" applyAlignment="1">
      <alignment horizontal="left"/>
    </xf>
    <xf numFmtId="0" fontId="19" fillId="37" borderId="10" xfId="42" applyFont="1" applyFill="1" applyBorder="1" applyAlignment="1">
      <alignment horizontal="center" vertical="top"/>
    </xf>
    <xf numFmtId="0" fontId="21" fillId="37" borderId="10" xfId="42" applyFont="1" applyFill="1" applyBorder="1" applyAlignment="1">
      <alignment horizontal="left" vertical="top"/>
    </xf>
    <xf numFmtId="164" fontId="21" fillId="37" borderId="10" xfId="43" applyNumberFormat="1" applyFont="1" applyFill="1" applyBorder="1" applyAlignment="1">
      <alignment vertical="top"/>
    </xf>
    <xf numFmtId="1" fontId="19" fillId="37" borderId="10" xfId="0" applyNumberFormat="1" applyFont="1" applyFill="1" applyBorder="1" applyAlignment="1">
      <alignment horizontal="left" vertical="top"/>
    </xf>
    <xf numFmtId="0" fontId="21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" fontId="18" fillId="35" borderId="10" xfId="0" applyNumberFormat="1" applyFont="1" applyFill="1" applyBorder="1" applyAlignment="1">
      <alignment horizontal="left" wrapText="1"/>
    </xf>
    <xf numFmtId="1" fontId="20" fillId="36" borderId="10" xfId="0" quotePrefix="1" applyNumberFormat="1" applyFont="1" applyFill="1" applyBorder="1" applyAlignment="1">
      <alignment horizontal="left" vertical="top"/>
    </xf>
    <xf numFmtId="1" fontId="19" fillId="36" borderId="10" xfId="0" quotePrefix="1" applyNumberFormat="1" applyFont="1" applyFill="1" applyBorder="1" applyAlignment="1">
      <alignment horizontal="left" vertical="top"/>
    </xf>
    <xf numFmtId="0" fontId="18" fillId="0" borderId="10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B8F0015-88AB-45EB-AA5B-AD13BA82BBB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l%20Data-Convergent-Parveen\Parveen_02122022\Convergent\Project_PO\Running%20Project\WB-25\WB-Vishnu%20Chembers\CAPI%20Payment%20Oct'25\Milan-CAPI%20Payments%201st%20Lot%20till%2031st%20Oct.xlsx" TargetMode="External"/><Relationship Id="rId1" Type="http://schemas.openxmlformats.org/officeDocument/2006/relationships/externalLinkPath" Target="file:///D:\All%20Data-Convergent-Parveen\Parveen_02122022\Convergent\Project_PO\Running%20Project\WB-25\WB-Vishnu%20Chembers\CAPI%20Payment%20Oct'25\Milan-CAPI%20Payments%201st%20Lot%20till%2031st%20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erviewer"/>
      <sheetName val="Supervisor"/>
      <sheetName val="ZM"/>
      <sheetName val="Training Expenses"/>
    </sheetNames>
    <sheetDataSet>
      <sheetData sheetId="0">
        <row r="2">
          <cell r="B2">
            <v>101</v>
          </cell>
          <cell r="C2" t="e">
            <v>#N/A</v>
          </cell>
        </row>
        <row r="3">
          <cell r="B3">
            <v>102</v>
          </cell>
          <cell r="C3">
            <v>102</v>
          </cell>
        </row>
        <row r="4">
          <cell r="B4">
            <v>103</v>
          </cell>
          <cell r="C4" t="e">
            <v>#N/A</v>
          </cell>
        </row>
        <row r="5">
          <cell r="B5">
            <v>105</v>
          </cell>
          <cell r="C5" t="e">
            <v>#N/A</v>
          </cell>
        </row>
        <row r="6">
          <cell r="B6">
            <v>106</v>
          </cell>
          <cell r="C6" t="e">
            <v>#N/A</v>
          </cell>
        </row>
        <row r="7">
          <cell r="B7">
            <v>121</v>
          </cell>
          <cell r="C7" t="e">
            <v>#N/A</v>
          </cell>
        </row>
        <row r="8">
          <cell r="B8">
            <v>122</v>
          </cell>
          <cell r="C8" t="e">
            <v>#N/A</v>
          </cell>
        </row>
        <row r="9">
          <cell r="B9">
            <v>123</v>
          </cell>
          <cell r="C9" t="e">
            <v>#N/A</v>
          </cell>
        </row>
        <row r="10">
          <cell r="B10">
            <v>125</v>
          </cell>
          <cell r="C10" t="e">
            <v>#N/A</v>
          </cell>
        </row>
        <row r="11">
          <cell r="B11">
            <v>126</v>
          </cell>
          <cell r="C11" t="e">
            <v>#N/A</v>
          </cell>
        </row>
        <row r="12">
          <cell r="B12">
            <v>127</v>
          </cell>
          <cell r="C12" t="e">
            <v>#N/A</v>
          </cell>
        </row>
        <row r="13">
          <cell r="B13">
            <v>128</v>
          </cell>
          <cell r="C13" t="e">
            <v>#N/A</v>
          </cell>
        </row>
        <row r="14">
          <cell r="B14">
            <v>130</v>
          </cell>
          <cell r="C14">
            <v>130</v>
          </cell>
        </row>
        <row r="15">
          <cell r="B15">
            <v>131</v>
          </cell>
          <cell r="C15" t="e">
            <v>#N/A</v>
          </cell>
        </row>
        <row r="16">
          <cell r="B16">
            <v>132</v>
          </cell>
          <cell r="C16" t="e">
            <v>#N/A</v>
          </cell>
        </row>
        <row r="17">
          <cell r="B17">
            <v>133</v>
          </cell>
          <cell r="C17">
            <v>133</v>
          </cell>
        </row>
        <row r="18">
          <cell r="B18">
            <v>134</v>
          </cell>
          <cell r="C18">
            <v>134</v>
          </cell>
        </row>
        <row r="19">
          <cell r="B19">
            <v>135</v>
          </cell>
          <cell r="C19" t="e">
            <v>#N/A</v>
          </cell>
        </row>
        <row r="20">
          <cell r="B20">
            <v>137</v>
          </cell>
          <cell r="C20" t="e">
            <v>#N/A</v>
          </cell>
        </row>
        <row r="21">
          <cell r="B21">
            <v>139</v>
          </cell>
          <cell r="C21" t="e">
            <v>#N/A</v>
          </cell>
        </row>
        <row r="22">
          <cell r="B22">
            <v>140</v>
          </cell>
          <cell r="C22" t="e">
            <v>#N/A</v>
          </cell>
        </row>
        <row r="23">
          <cell r="B23">
            <v>141</v>
          </cell>
          <cell r="C23">
            <v>141</v>
          </cell>
        </row>
        <row r="24">
          <cell r="B24">
            <v>145</v>
          </cell>
          <cell r="C24" t="e">
            <v>#N/A</v>
          </cell>
        </row>
        <row r="25">
          <cell r="B25">
            <v>148</v>
          </cell>
          <cell r="C25" t="e">
            <v>#N/A</v>
          </cell>
        </row>
        <row r="26">
          <cell r="B26">
            <v>149</v>
          </cell>
          <cell r="C26" t="e">
            <v>#N/A</v>
          </cell>
        </row>
        <row r="27">
          <cell r="B27">
            <v>150</v>
          </cell>
          <cell r="C27">
            <v>150</v>
          </cell>
        </row>
        <row r="28">
          <cell r="B28">
            <v>151</v>
          </cell>
          <cell r="C28" t="e">
            <v>#N/A</v>
          </cell>
        </row>
        <row r="29">
          <cell r="B29">
            <v>152</v>
          </cell>
          <cell r="C29" t="e">
            <v>#N/A</v>
          </cell>
        </row>
        <row r="30">
          <cell r="B30">
            <v>153</v>
          </cell>
          <cell r="C30" t="e">
            <v>#N/A</v>
          </cell>
        </row>
        <row r="31">
          <cell r="B31">
            <v>154</v>
          </cell>
          <cell r="C31" t="e">
            <v>#N/A</v>
          </cell>
        </row>
        <row r="32">
          <cell r="B32">
            <v>158</v>
          </cell>
          <cell r="C32">
            <v>158</v>
          </cell>
        </row>
        <row r="33">
          <cell r="B33">
            <v>159</v>
          </cell>
          <cell r="C33">
            <v>159</v>
          </cell>
        </row>
        <row r="34">
          <cell r="B34">
            <v>160</v>
          </cell>
          <cell r="C34" t="e">
            <v>#N/A</v>
          </cell>
        </row>
        <row r="35">
          <cell r="B35">
            <v>161</v>
          </cell>
          <cell r="C35" t="e">
            <v>#N/A</v>
          </cell>
        </row>
        <row r="36">
          <cell r="B36">
            <v>162</v>
          </cell>
          <cell r="C36">
            <v>162</v>
          </cell>
        </row>
        <row r="37">
          <cell r="B37">
            <v>164</v>
          </cell>
          <cell r="C37" t="e">
            <v>#N/A</v>
          </cell>
        </row>
        <row r="38">
          <cell r="B38">
            <v>165</v>
          </cell>
          <cell r="C38" t="e">
            <v>#N/A</v>
          </cell>
        </row>
        <row r="39">
          <cell r="B39">
            <v>166</v>
          </cell>
          <cell r="C39" t="e">
            <v>#N/A</v>
          </cell>
        </row>
        <row r="40">
          <cell r="B40">
            <v>181</v>
          </cell>
          <cell r="C40" t="e">
            <v>#N/A</v>
          </cell>
        </row>
        <row r="41">
          <cell r="B41">
            <v>182</v>
          </cell>
          <cell r="C41" t="e">
            <v>#N/A</v>
          </cell>
        </row>
        <row r="42">
          <cell r="B42">
            <v>183</v>
          </cell>
          <cell r="C42" t="e">
            <v>#N/A</v>
          </cell>
        </row>
        <row r="43">
          <cell r="B43">
            <v>185</v>
          </cell>
          <cell r="C43" t="e">
            <v>#N/A</v>
          </cell>
        </row>
        <row r="44">
          <cell r="B44">
            <v>187</v>
          </cell>
          <cell r="C44" t="e">
            <v>#N/A</v>
          </cell>
        </row>
        <row r="45">
          <cell r="B45">
            <v>200</v>
          </cell>
          <cell r="C45" t="e">
            <v>#N/A</v>
          </cell>
        </row>
        <row r="46">
          <cell r="B46">
            <v>201</v>
          </cell>
          <cell r="C46">
            <v>201</v>
          </cell>
        </row>
        <row r="47">
          <cell r="B47">
            <v>202</v>
          </cell>
          <cell r="C47">
            <v>202</v>
          </cell>
        </row>
        <row r="48">
          <cell r="B48">
            <v>204</v>
          </cell>
          <cell r="C48">
            <v>204</v>
          </cell>
        </row>
        <row r="49">
          <cell r="B49">
            <v>206</v>
          </cell>
          <cell r="C49" t="e">
            <v>#N/A</v>
          </cell>
        </row>
        <row r="50">
          <cell r="B50">
            <v>210</v>
          </cell>
          <cell r="C50" t="e">
            <v>#N/A</v>
          </cell>
        </row>
        <row r="51">
          <cell r="B51">
            <v>211</v>
          </cell>
          <cell r="C51" t="e">
            <v>#N/A</v>
          </cell>
        </row>
        <row r="52">
          <cell r="B52">
            <v>212</v>
          </cell>
          <cell r="C52" t="e">
            <v>#N/A</v>
          </cell>
        </row>
        <row r="53">
          <cell r="B53">
            <v>213</v>
          </cell>
          <cell r="C53" t="e">
            <v>#N/A</v>
          </cell>
        </row>
        <row r="54">
          <cell r="B54">
            <v>214</v>
          </cell>
          <cell r="C54" t="e">
            <v>#N/A</v>
          </cell>
        </row>
        <row r="55">
          <cell r="B55">
            <v>215</v>
          </cell>
          <cell r="C55" t="e">
            <v>#N/A</v>
          </cell>
        </row>
        <row r="56">
          <cell r="B56">
            <v>216</v>
          </cell>
          <cell r="C56" t="e">
            <v>#N/A</v>
          </cell>
        </row>
        <row r="57">
          <cell r="B57">
            <v>217</v>
          </cell>
          <cell r="C57" t="e">
            <v>#N/A</v>
          </cell>
        </row>
        <row r="58">
          <cell r="B58">
            <v>219</v>
          </cell>
          <cell r="C58" t="e">
            <v>#N/A</v>
          </cell>
        </row>
        <row r="59">
          <cell r="B59">
            <v>224</v>
          </cell>
          <cell r="C59" t="e">
            <v>#N/A</v>
          </cell>
        </row>
        <row r="60">
          <cell r="B60">
            <v>230</v>
          </cell>
          <cell r="C60">
            <v>230</v>
          </cell>
        </row>
        <row r="61">
          <cell r="B61">
            <v>231</v>
          </cell>
          <cell r="C61" t="e">
            <v>#N/A</v>
          </cell>
        </row>
        <row r="62">
          <cell r="B62">
            <v>233</v>
          </cell>
          <cell r="C62">
            <v>233</v>
          </cell>
        </row>
        <row r="63">
          <cell r="B63">
            <v>234</v>
          </cell>
          <cell r="C63" t="e">
            <v>#N/A</v>
          </cell>
        </row>
        <row r="64">
          <cell r="B64">
            <v>235</v>
          </cell>
          <cell r="C64" t="e">
            <v>#N/A</v>
          </cell>
        </row>
        <row r="65">
          <cell r="B65">
            <v>236</v>
          </cell>
          <cell r="C65" t="e">
            <v>#N/A</v>
          </cell>
        </row>
        <row r="66">
          <cell r="B66">
            <v>238</v>
          </cell>
          <cell r="C66" t="e">
            <v>#N/A</v>
          </cell>
        </row>
        <row r="67">
          <cell r="B67">
            <v>239</v>
          </cell>
          <cell r="C67" t="e">
            <v>#N/A</v>
          </cell>
        </row>
        <row r="68">
          <cell r="B68">
            <v>241</v>
          </cell>
          <cell r="C68">
            <v>241</v>
          </cell>
        </row>
        <row r="69">
          <cell r="B69">
            <v>242</v>
          </cell>
          <cell r="C69">
            <v>242</v>
          </cell>
        </row>
        <row r="70">
          <cell r="B70">
            <v>243</v>
          </cell>
          <cell r="C70">
            <v>243</v>
          </cell>
        </row>
        <row r="71">
          <cell r="B71">
            <v>244</v>
          </cell>
          <cell r="C71" t="e">
            <v>#N/A</v>
          </cell>
        </row>
        <row r="72">
          <cell r="B72">
            <v>245</v>
          </cell>
          <cell r="C72">
            <v>245</v>
          </cell>
        </row>
        <row r="73">
          <cell r="B73">
            <v>247</v>
          </cell>
          <cell r="C73" t="e">
            <v>#N/A</v>
          </cell>
        </row>
        <row r="74">
          <cell r="B74">
            <v>248</v>
          </cell>
          <cell r="C74" t="e">
            <v>#N/A</v>
          </cell>
        </row>
        <row r="75">
          <cell r="B75">
            <v>249</v>
          </cell>
          <cell r="C75" t="e">
            <v>#N/A</v>
          </cell>
        </row>
        <row r="76">
          <cell r="B76">
            <v>251</v>
          </cell>
          <cell r="C76" t="e">
            <v>#N/A</v>
          </cell>
        </row>
        <row r="77">
          <cell r="B77">
            <v>261</v>
          </cell>
          <cell r="C77" t="e">
            <v>#N/A</v>
          </cell>
        </row>
        <row r="78">
          <cell r="B78">
            <v>262</v>
          </cell>
          <cell r="C78" t="e">
            <v>#N/A</v>
          </cell>
        </row>
        <row r="79">
          <cell r="B79">
            <v>263</v>
          </cell>
          <cell r="C79" t="e">
            <v>#N/A</v>
          </cell>
        </row>
        <row r="80">
          <cell r="B80">
            <v>264</v>
          </cell>
          <cell r="C80" t="e">
            <v>#N/A</v>
          </cell>
        </row>
        <row r="81">
          <cell r="B81">
            <v>267</v>
          </cell>
          <cell r="C81" t="e">
            <v>#N/A</v>
          </cell>
        </row>
        <row r="82">
          <cell r="B82">
            <v>268</v>
          </cell>
          <cell r="C82" t="e">
            <v>#N/A</v>
          </cell>
        </row>
        <row r="83">
          <cell r="B83">
            <v>280</v>
          </cell>
          <cell r="C83" t="e">
            <v>#N/A</v>
          </cell>
        </row>
        <row r="84">
          <cell r="B84">
            <v>301</v>
          </cell>
          <cell r="C84" t="e">
            <v>#N/A</v>
          </cell>
        </row>
        <row r="85">
          <cell r="B85">
            <v>303</v>
          </cell>
          <cell r="C85" t="e">
            <v>#N/A</v>
          </cell>
        </row>
        <row r="86">
          <cell r="B86">
            <v>316</v>
          </cell>
          <cell r="C86" t="e">
            <v>#N/A</v>
          </cell>
        </row>
        <row r="87">
          <cell r="B87">
            <v>317</v>
          </cell>
          <cell r="C87" t="e">
            <v>#N/A</v>
          </cell>
        </row>
        <row r="88">
          <cell r="B88">
            <v>318</v>
          </cell>
          <cell r="C88" t="e">
            <v>#N/A</v>
          </cell>
        </row>
        <row r="89">
          <cell r="B89">
            <v>319</v>
          </cell>
          <cell r="C89" t="e">
            <v>#N/A</v>
          </cell>
        </row>
        <row r="90">
          <cell r="B90">
            <v>320</v>
          </cell>
          <cell r="C90" t="e">
            <v>#N/A</v>
          </cell>
        </row>
        <row r="91">
          <cell r="B91">
            <v>321</v>
          </cell>
          <cell r="C91" t="e">
            <v>#N/A</v>
          </cell>
        </row>
        <row r="92">
          <cell r="B92">
            <v>322</v>
          </cell>
          <cell r="C92" t="e">
            <v>#N/A</v>
          </cell>
        </row>
        <row r="93">
          <cell r="B93">
            <v>323</v>
          </cell>
          <cell r="C93" t="e">
            <v>#N/A</v>
          </cell>
        </row>
        <row r="94">
          <cell r="B94">
            <v>324</v>
          </cell>
          <cell r="C94" t="e">
            <v>#N/A</v>
          </cell>
        </row>
        <row r="95">
          <cell r="B95">
            <v>325</v>
          </cell>
          <cell r="C95" t="e">
            <v>#N/A</v>
          </cell>
        </row>
        <row r="96">
          <cell r="B96">
            <v>326</v>
          </cell>
          <cell r="C96">
            <v>326</v>
          </cell>
        </row>
        <row r="97">
          <cell r="B97">
            <v>327</v>
          </cell>
          <cell r="C97" t="e">
            <v>#N/A</v>
          </cell>
        </row>
        <row r="98">
          <cell r="B98">
            <v>328</v>
          </cell>
          <cell r="C98" t="e">
            <v>#N/A</v>
          </cell>
        </row>
        <row r="99">
          <cell r="B99">
            <v>330</v>
          </cell>
          <cell r="C99" t="e">
            <v>#N/A</v>
          </cell>
        </row>
        <row r="100">
          <cell r="B100">
            <v>331</v>
          </cell>
          <cell r="C100" t="e">
            <v>#N/A</v>
          </cell>
        </row>
        <row r="101">
          <cell r="B101">
            <v>332</v>
          </cell>
          <cell r="C101" t="e">
            <v>#N/A</v>
          </cell>
        </row>
        <row r="102">
          <cell r="B102">
            <v>334</v>
          </cell>
          <cell r="C102" t="e">
            <v>#N/A</v>
          </cell>
        </row>
        <row r="103">
          <cell r="B103">
            <v>335</v>
          </cell>
          <cell r="C103" t="e">
            <v>#N/A</v>
          </cell>
        </row>
        <row r="104">
          <cell r="B104">
            <v>337</v>
          </cell>
          <cell r="C104" t="e">
            <v>#N/A</v>
          </cell>
        </row>
        <row r="105">
          <cell r="B105">
            <v>339</v>
          </cell>
          <cell r="C105" t="e">
            <v>#N/A</v>
          </cell>
        </row>
        <row r="106">
          <cell r="B106">
            <v>340</v>
          </cell>
          <cell r="C106" t="e">
            <v>#N/A</v>
          </cell>
        </row>
        <row r="107">
          <cell r="B107">
            <v>341</v>
          </cell>
          <cell r="C107" t="e">
            <v>#N/A</v>
          </cell>
        </row>
        <row r="108">
          <cell r="B108">
            <v>342</v>
          </cell>
          <cell r="C108" t="e">
            <v>#N/A</v>
          </cell>
        </row>
        <row r="109">
          <cell r="B109">
            <v>343</v>
          </cell>
          <cell r="C109" t="e">
            <v>#N/A</v>
          </cell>
        </row>
        <row r="110">
          <cell r="B110">
            <v>344</v>
          </cell>
          <cell r="C110" t="e">
            <v>#N/A</v>
          </cell>
        </row>
        <row r="111">
          <cell r="B111">
            <v>345</v>
          </cell>
          <cell r="C111" t="e">
            <v>#N/A</v>
          </cell>
        </row>
        <row r="112">
          <cell r="B112">
            <v>346</v>
          </cell>
          <cell r="C112">
            <v>346</v>
          </cell>
        </row>
        <row r="113">
          <cell r="B113">
            <v>347</v>
          </cell>
          <cell r="C113">
            <v>347</v>
          </cell>
        </row>
        <row r="114">
          <cell r="B114">
            <v>348</v>
          </cell>
          <cell r="C114">
            <v>348</v>
          </cell>
        </row>
        <row r="115">
          <cell r="B115">
            <v>349</v>
          </cell>
          <cell r="C115">
            <v>349</v>
          </cell>
        </row>
        <row r="116">
          <cell r="B116">
            <v>350</v>
          </cell>
          <cell r="C116" t="e">
            <v>#N/A</v>
          </cell>
        </row>
        <row r="117">
          <cell r="B117">
            <v>351</v>
          </cell>
          <cell r="C117" t="e">
            <v>#N/A</v>
          </cell>
        </row>
        <row r="118">
          <cell r="B118">
            <v>352</v>
          </cell>
          <cell r="C118" t="e">
            <v>#N/A</v>
          </cell>
        </row>
        <row r="119">
          <cell r="B119">
            <v>353</v>
          </cell>
          <cell r="C119" t="e">
            <v>#N/A</v>
          </cell>
        </row>
        <row r="120">
          <cell r="B120">
            <v>354</v>
          </cell>
          <cell r="C120" t="e">
            <v>#N/A</v>
          </cell>
        </row>
        <row r="121">
          <cell r="B121">
            <v>380</v>
          </cell>
          <cell r="C121" t="e">
            <v>#N/A</v>
          </cell>
        </row>
        <row r="122">
          <cell r="B122">
            <v>381</v>
          </cell>
          <cell r="C122" t="e">
            <v>#N/A</v>
          </cell>
        </row>
        <row r="123">
          <cell r="B123">
            <v>382</v>
          </cell>
          <cell r="C123" t="e">
            <v>#N/A</v>
          </cell>
        </row>
        <row r="124">
          <cell r="B124">
            <v>383</v>
          </cell>
          <cell r="C124" t="e">
            <v>#N/A</v>
          </cell>
        </row>
        <row r="125">
          <cell r="B125">
            <v>384</v>
          </cell>
          <cell r="C125" t="e">
            <v>#N/A</v>
          </cell>
        </row>
        <row r="126">
          <cell r="B126">
            <v>385</v>
          </cell>
          <cell r="C126" t="e">
            <v>#N/A</v>
          </cell>
        </row>
        <row r="127">
          <cell r="B127">
            <v>386</v>
          </cell>
          <cell r="C127" t="e">
            <v>#N/A</v>
          </cell>
        </row>
        <row r="128">
          <cell r="B128">
            <v>387</v>
          </cell>
          <cell r="C128" t="e">
            <v>#N/A</v>
          </cell>
        </row>
        <row r="129">
          <cell r="B129">
            <v>388</v>
          </cell>
          <cell r="C129" t="e">
            <v>#N/A</v>
          </cell>
        </row>
        <row r="130">
          <cell r="B130">
            <v>389</v>
          </cell>
          <cell r="C130" t="e">
            <v>#N/A</v>
          </cell>
        </row>
        <row r="131">
          <cell r="B131">
            <v>394</v>
          </cell>
          <cell r="C131" t="e">
            <v>#N/A</v>
          </cell>
        </row>
        <row r="132">
          <cell r="B132">
            <v>433</v>
          </cell>
          <cell r="C132" t="e">
            <v>#N/A</v>
          </cell>
        </row>
        <row r="133">
          <cell r="B133">
            <v>434</v>
          </cell>
          <cell r="C133" t="e">
            <v>#N/A</v>
          </cell>
        </row>
        <row r="134">
          <cell r="B134">
            <v>435</v>
          </cell>
          <cell r="C134" t="e">
            <v>#N/A</v>
          </cell>
        </row>
        <row r="135">
          <cell r="B135">
            <v>437</v>
          </cell>
          <cell r="C135">
            <v>437</v>
          </cell>
        </row>
        <row r="136">
          <cell r="B136">
            <v>461</v>
          </cell>
          <cell r="C136" t="e">
            <v>#N/A</v>
          </cell>
        </row>
        <row r="137">
          <cell r="B137">
            <v>462</v>
          </cell>
          <cell r="C137" t="e">
            <v>#N/A</v>
          </cell>
        </row>
        <row r="138">
          <cell r="B138">
            <v>467</v>
          </cell>
          <cell r="C138" t="e">
            <v>#N/A</v>
          </cell>
        </row>
        <row r="139">
          <cell r="B139">
            <v>411</v>
          </cell>
          <cell r="C139" t="e">
            <v>#N/A</v>
          </cell>
        </row>
        <row r="140">
          <cell r="B140">
            <v>412</v>
          </cell>
          <cell r="C140" t="e">
            <v>#N/A</v>
          </cell>
        </row>
        <row r="141">
          <cell r="B141">
            <v>413</v>
          </cell>
          <cell r="C141" t="e">
            <v>#N/A</v>
          </cell>
        </row>
        <row r="142">
          <cell r="B142">
            <v>414</v>
          </cell>
          <cell r="C142" t="e">
            <v>#N/A</v>
          </cell>
        </row>
        <row r="143">
          <cell r="B143">
            <v>415</v>
          </cell>
          <cell r="C143" t="e">
            <v>#N/A</v>
          </cell>
        </row>
        <row r="144">
          <cell r="B144">
            <v>416</v>
          </cell>
          <cell r="C144" t="e">
            <v>#N/A</v>
          </cell>
        </row>
        <row r="145">
          <cell r="B145">
            <v>417</v>
          </cell>
          <cell r="C145" t="e">
            <v>#N/A</v>
          </cell>
        </row>
        <row r="146">
          <cell r="B146">
            <v>418</v>
          </cell>
          <cell r="C146" t="e">
            <v>#N/A</v>
          </cell>
        </row>
        <row r="147">
          <cell r="B147">
            <v>419</v>
          </cell>
          <cell r="C147" t="e">
            <v>#N/A</v>
          </cell>
        </row>
        <row r="148">
          <cell r="B148">
            <v>420</v>
          </cell>
          <cell r="C148" t="e">
            <v>#N/A</v>
          </cell>
        </row>
        <row r="149">
          <cell r="B149">
            <v>441</v>
          </cell>
          <cell r="C149" t="e">
            <v>#N/A</v>
          </cell>
        </row>
        <row r="150">
          <cell r="B150">
            <v>442</v>
          </cell>
          <cell r="C150" t="e">
            <v>#N/A</v>
          </cell>
        </row>
        <row r="151">
          <cell r="B151">
            <v>443</v>
          </cell>
          <cell r="C151" t="e">
            <v>#N/A</v>
          </cell>
        </row>
        <row r="152">
          <cell r="B152">
            <v>444</v>
          </cell>
          <cell r="C152" t="e">
            <v>#N/A</v>
          </cell>
        </row>
        <row r="153">
          <cell r="B153">
            <v>445</v>
          </cell>
          <cell r="C153" t="e">
            <v>#N/A</v>
          </cell>
        </row>
        <row r="154">
          <cell r="B154">
            <v>446</v>
          </cell>
          <cell r="C154" t="e">
            <v>#N/A</v>
          </cell>
        </row>
        <row r="155">
          <cell r="B155">
            <v>447</v>
          </cell>
          <cell r="C155">
            <v>447</v>
          </cell>
        </row>
        <row r="156">
          <cell r="B156">
            <v>490</v>
          </cell>
          <cell r="C156" t="e">
            <v>#N/A</v>
          </cell>
        </row>
        <row r="157">
          <cell r="B157">
            <v>470</v>
          </cell>
          <cell r="C157" t="e">
            <v>#N/A</v>
          </cell>
        </row>
        <row r="158">
          <cell r="B158">
            <v>471</v>
          </cell>
          <cell r="C158" t="e">
            <v>#N/A</v>
          </cell>
        </row>
        <row r="159">
          <cell r="B159">
            <v>472</v>
          </cell>
          <cell r="C159" t="e">
            <v>#N/A</v>
          </cell>
        </row>
        <row r="160">
          <cell r="B160">
            <v>473</v>
          </cell>
          <cell r="C160" t="e">
            <v>#N/A</v>
          </cell>
        </row>
        <row r="161">
          <cell r="B161">
            <v>474</v>
          </cell>
          <cell r="C161" t="e">
            <v>#N/A</v>
          </cell>
        </row>
        <row r="162">
          <cell r="B162">
            <v>476</v>
          </cell>
          <cell r="C162" t="e">
            <v>#N/A</v>
          </cell>
        </row>
        <row r="163">
          <cell r="B163">
            <v>477</v>
          </cell>
          <cell r="C163" t="e">
            <v>#N/A</v>
          </cell>
        </row>
        <row r="164">
          <cell r="B164">
            <v>478</v>
          </cell>
          <cell r="C164" t="e">
            <v>#N/A</v>
          </cell>
        </row>
        <row r="165">
          <cell r="B165">
            <v>479</v>
          </cell>
          <cell r="C165" t="e">
            <v>#N/A</v>
          </cell>
        </row>
        <row r="166">
          <cell r="B166">
            <v>482</v>
          </cell>
          <cell r="C166" t="e">
            <v>#N/A</v>
          </cell>
        </row>
        <row r="167">
          <cell r="B167">
            <v>483</v>
          </cell>
          <cell r="C167" t="e">
            <v>#N/A</v>
          </cell>
        </row>
        <row r="168">
          <cell r="B168">
            <v>484</v>
          </cell>
          <cell r="C168" t="e">
            <v>#N/A</v>
          </cell>
        </row>
        <row r="169">
          <cell r="B169">
            <v>401</v>
          </cell>
          <cell r="C169" t="e">
            <v>#N/A</v>
          </cell>
        </row>
        <row r="170">
          <cell r="B170">
            <v>402</v>
          </cell>
          <cell r="C170" t="e">
            <v>#N/A</v>
          </cell>
        </row>
        <row r="171">
          <cell r="B171">
            <v>403</v>
          </cell>
          <cell r="C171" t="e">
            <v>#N/A</v>
          </cell>
        </row>
        <row r="172">
          <cell r="B172">
            <v>404</v>
          </cell>
          <cell r="C172">
            <v>404</v>
          </cell>
        </row>
        <row r="173">
          <cell r="B173">
            <v>406</v>
          </cell>
          <cell r="C173" t="e">
            <v>#N/A</v>
          </cell>
        </row>
        <row r="174">
          <cell r="B174">
            <v>409</v>
          </cell>
          <cell r="C174" t="e">
            <v>#N/A</v>
          </cell>
        </row>
        <row r="175">
          <cell r="B175">
            <v>410</v>
          </cell>
          <cell r="C175" t="e">
            <v>#N/A</v>
          </cell>
        </row>
        <row r="176">
          <cell r="B176">
            <v>500</v>
          </cell>
          <cell r="C176" t="e">
            <v>#N/A</v>
          </cell>
        </row>
        <row r="177">
          <cell r="B177">
            <v>501</v>
          </cell>
          <cell r="C177" t="e">
            <v>#N/A</v>
          </cell>
        </row>
        <row r="178">
          <cell r="B178">
            <v>502</v>
          </cell>
          <cell r="C178">
            <v>502</v>
          </cell>
        </row>
        <row r="179">
          <cell r="B179">
            <v>503</v>
          </cell>
          <cell r="C179">
            <v>503</v>
          </cell>
        </row>
        <row r="180">
          <cell r="B180">
            <v>504</v>
          </cell>
          <cell r="C180" t="e">
            <v>#N/A</v>
          </cell>
        </row>
        <row r="181">
          <cell r="B181">
            <v>505</v>
          </cell>
          <cell r="C181">
            <v>505</v>
          </cell>
        </row>
        <row r="182">
          <cell r="B182">
            <v>507</v>
          </cell>
          <cell r="C182" t="e">
            <v>#N/A</v>
          </cell>
        </row>
        <row r="183">
          <cell r="B183">
            <v>509</v>
          </cell>
          <cell r="C183" t="e">
            <v>#N/A</v>
          </cell>
        </row>
        <row r="184">
          <cell r="B184">
            <v>510</v>
          </cell>
          <cell r="C184" t="e">
            <v>#N/A</v>
          </cell>
        </row>
        <row r="185">
          <cell r="B185">
            <v>512</v>
          </cell>
          <cell r="C185" t="e">
            <v>#N/A</v>
          </cell>
        </row>
        <row r="186">
          <cell r="B186">
            <v>513</v>
          </cell>
          <cell r="C186" t="e">
            <v>#N/A</v>
          </cell>
        </row>
        <row r="187">
          <cell r="B187">
            <v>514</v>
          </cell>
          <cell r="C187" t="e">
            <v>#N/A</v>
          </cell>
        </row>
        <row r="188">
          <cell r="B188">
            <v>515</v>
          </cell>
          <cell r="C188" t="e">
            <v>#N/A</v>
          </cell>
        </row>
        <row r="189">
          <cell r="B189">
            <v>516</v>
          </cell>
          <cell r="C189">
            <v>516</v>
          </cell>
        </row>
        <row r="190">
          <cell r="B190">
            <v>517</v>
          </cell>
          <cell r="C190" t="e">
            <v>#N/A</v>
          </cell>
        </row>
        <row r="191">
          <cell r="B191">
            <v>518</v>
          </cell>
          <cell r="C191" t="e">
            <v>#N/A</v>
          </cell>
        </row>
        <row r="192">
          <cell r="B192">
            <v>519</v>
          </cell>
          <cell r="C192" t="e">
            <v>#N/A</v>
          </cell>
        </row>
        <row r="193">
          <cell r="B193">
            <v>520</v>
          </cell>
          <cell r="C193" t="e">
            <v>#N/A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fsc.bankifsccode.com/IDIB000S77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fsc.bankifsccode.com/IDIB000S77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5B004-6C8C-45E6-979D-13DC9E762C62}">
  <sheetPr>
    <pageSetUpPr fitToPage="1"/>
  </sheetPr>
  <dimension ref="A1:U99"/>
  <sheetViews>
    <sheetView zoomScaleNormal="100" workbookViewId="0">
      <pane xSplit="4" ySplit="1" topLeftCell="I76" activePane="bottomRight" state="frozen"/>
      <selection pane="topRight" activeCell="V60" sqref="V60"/>
      <selection pane="bottomLeft" activeCell="V60" sqref="V60"/>
      <selection pane="bottomRight" activeCell="V60" sqref="V60"/>
    </sheetView>
  </sheetViews>
  <sheetFormatPr defaultColWidth="9.1796875" defaultRowHeight="12.5" x14ac:dyDescent="0.25"/>
  <cols>
    <col min="1" max="1" width="6.1796875" style="16" bestFit="1" customWidth="1"/>
    <col min="2" max="2" width="6.26953125" style="16" bestFit="1" customWidth="1"/>
    <col min="3" max="3" width="7.54296875" style="16" bestFit="1" customWidth="1"/>
    <col min="4" max="4" width="22.453125" style="14" bestFit="1" customWidth="1"/>
    <col min="5" max="5" width="17.26953125" style="20" bestFit="1" customWidth="1"/>
    <col min="6" max="6" width="13.54296875" style="21" bestFit="1" customWidth="1"/>
    <col min="7" max="7" width="24" style="21" bestFit="1" customWidth="1"/>
    <col min="8" max="8" width="13.26953125" style="21" bestFit="1" customWidth="1"/>
    <col min="9" max="9" width="13.1796875" style="21" bestFit="1" customWidth="1"/>
    <col min="10" max="10" width="6.1796875" style="16" bestFit="1" customWidth="1"/>
    <col min="11" max="11" width="14.54296875" style="21" bestFit="1" customWidth="1"/>
    <col min="12" max="12" width="19" style="14" bestFit="1" customWidth="1"/>
    <col min="13" max="13" width="19.453125" style="16" bestFit="1" customWidth="1"/>
    <col min="14" max="14" width="10.26953125" style="16" bestFit="1" customWidth="1"/>
    <col min="15" max="15" width="5" style="16" bestFit="1" customWidth="1"/>
    <col min="16" max="18" width="9.54296875" style="14" bestFit="1" customWidth="1"/>
    <col min="19" max="19" width="6.81640625" style="14" bestFit="1" customWidth="1"/>
    <col min="20" max="20" width="10" style="14" bestFit="1" customWidth="1"/>
    <col min="21" max="16384" width="9.1796875" style="14"/>
  </cols>
  <sheetData>
    <row r="1" spans="1:20" s="34" customFormat="1" ht="25" x14ac:dyDescent="0.35">
      <c r="A1" s="26" t="s">
        <v>0</v>
      </c>
      <c r="B1" s="26" t="s">
        <v>1</v>
      </c>
      <c r="C1" s="26" t="s">
        <v>2</v>
      </c>
      <c r="D1" s="26" t="s">
        <v>3</v>
      </c>
      <c r="E1" s="27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</row>
    <row r="2" spans="1:20" x14ac:dyDescent="0.25">
      <c r="A2" s="1">
        <v>1</v>
      </c>
      <c r="B2" s="1">
        <v>101</v>
      </c>
      <c r="C2" s="1" t="s">
        <v>20</v>
      </c>
      <c r="D2" s="2" t="s">
        <v>21</v>
      </c>
      <c r="E2" s="23" t="s">
        <v>22</v>
      </c>
      <c r="F2" s="4" t="s">
        <v>23</v>
      </c>
      <c r="G2" s="4" t="s">
        <v>24</v>
      </c>
      <c r="H2" s="4" t="s">
        <v>25</v>
      </c>
      <c r="I2" s="25" t="s">
        <v>26</v>
      </c>
      <c r="J2" s="1" t="s">
        <v>27</v>
      </c>
      <c r="K2" s="4">
        <v>7478532199</v>
      </c>
      <c r="L2" s="2" t="s">
        <v>28</v>
      </c>
      <c r="M2" s="1" t="s">
        <v>29</v>
      </c>
      <c r="N2" s="1">
        <v>305</v>
      </c>
      <c r="O2" s="1">
        <v>36</v>
      </c>
      <c r="P2" s="9">
        <f t="shared" ref="P2:P35" si="0">N2*O2</f>
        <v>10980</v>
      </c>
      <c r="Q2" s="9">
        <v>4000</v>
      </c>
      <c r="R2" s="9">
        <f>P2-Q2</f>
        <v>6980</v>
      </c>
      <c r="S2" s="9">
        <f>ROUND(R2*1%,0)</f>
        <v>70</v>
      </c>
      <c r="T2" s="17">
        <f>R2-S2</f>
        <v>6910</v>
      </c>
    </row>
    <row r="3" spans="1:20" x14ac:dyDescent="0.25">
      <c r="A3" s="1">
        <f>A2+1</f>
        <v>2</v>
      </c>
      <c r="B3" s="1">
        <v>103</v>
      </c>
      <c r="C3" s="1" t="s">
        <v>20</v>
      </c>
      <c r="D3" s="2" t="s">
        <v>30</v>
      </c>
      <c r="E3" s="23" t="s">
        <v>31</v>
      </c>
      <c r="F3" s="4" t="s">
        <v>32</v>
      </c>
      <c r="G3" s="4" t="s">
        <v>33</v>
      </c>
      <c r="H3" s="4" t="s">
        <v>34</v>
      </c>
      <c r="I3" s="25" t="s">
        <v>35</v>
      </c>
      <c r="J3" s="1" t="s">
        <v>27</v>
      </c>
      <c r="K3" s="4">
        <v>9733437670</v>
      </c>
      <c r="L3" s="2" t="s">
        <v>28</v>
      </c>
      <c r="M3" s="1" t="s">
        <v>29</v>
      </c>
      <c r="N3" s="1">
        <v>246</v>
      </c>
      <c r="O3" s="1">
        <v>36</v>
      </c>
      <c r="P3" s="9">
        <f t="shared" si="0"/>
        <v>8856</v>
      </c>
      <c r="Q3" s="9">
        <v>2000</v>
      </c>
      <c r="R3" s="9">
        <f t="shared" ref="R3:R35" si="1">P3-Q3</f>
        <v>6856</v>
      </c>
      <c r="S3" s="9">
        <f t="shared" ref="S3:S35" si="2">ROUND(R3*1%,0)</f>
        <v>69</v>
      </c>
      <c r="T3" s="17">
        <f t="shared" ref="T3:T35" si="3">R3-S3</f>
        <v>6787</v>
      </c>
    </row>
    <row r="4" spans="1:20" x14ac:dyDescent="0.25">
      <c r="A4" s="1">
        <f t="shared" ref="A4:A67" si="4">A3+1</f>
        <v>3</v>
      </c>
      <c r="B4" s="1">
        <v>105</v>
      </c>
      <c r="C4" s="1" t="s">
        <v>20</v>
      </c>
      <c r="D4" s="2" t="s">
        <v>36</v>
      </c>
      <c r="E4" s="23" t="s">
        <v>37</v>
      </c>
      <c r="F4" s="4" t="s">
        <v>38</v>
      </c>
      <c r="G4" s="4" t="s">
        <v>39</v>
      </c>
      <c r="H4" s="4" t="s">
        <v>40</v>
      </c>
      <c r="I4" s="25" t="s">
        <v>41</v>
      </c>
      <c r="J4" s="1" t="s">
        <v>27</v>
      </c>
      <c r="K4" s="4">
        <v>8370808279</v>
      </c>
      <c r="L4" s="2" t="s">
        <v>28</v>
      </c>
      <c r="M4" s="1" t="s">
        <v>29</v>
      </c>
      <c r="N4" s="1">
        <v>308</v>
      </c>
      <c r="O4" s="1">
        <v>36</v>
      </c>
      <c r="P4" s="9">
        <f t="shared" si="0"/>
        <v>11088</v>
      </c>
      <c r="Q4" s="9">
        <v>750</v>
      </c>
      <c r="R4" s="9">
        <f t="shared" si="1"/>
        <v>10338</v>
      </c>
      <c r="S4" s="9">
        <f t="shared" si="2"/>
        <v>103</v>
      </c>
      <c r="T4" s="17">
        <f t="shared" si="3"/>
        <v>10235</v>
      </c>
    </row>
    <row r="5" spans="1:20" x14ac:dyDescent="0.25">
      <c r="A5" s="1">
        <f t="shared" si="4"/>
        <v>4</v>
      </c>
      <c r="B5" s="1">
        <v>106</v>
      </c>
      <c r="C5" s="1" t="s">
        <v>20</v>
      </c>
      <c r="D5" s="2" t="s">
        <v>42</v>
      </c>
      <c r="E5" s="23" t="s">
        <v>43</v>
      </c>
      <c r="F5" s="4" t="s">
        <v>44</v>
      </c>
      <c r="G5" s="4" t="s">
        <v>45</v>
      </c>
      <c r="H5" s="4" t="s">
        <v>46</v>
      </c>
      <c r="I5" s="25" t="s">
        <v>47</v>
      </c>
      <c r="J5" s="1" t="s">
        <v>27</v>
      </c>
      <c r="K5" s="4">
        <v>7076589256</v>
      </c>
      <c r="L5" s="2" t="s">
        <v>28</v>
      </c>
      <c r="M5" s="1" t="s">
        <v>29</v>
      </c>
      <c r="N5" s="1">
        <v>337</v>
      </c>
      <c r="O5" s="1">
        <v>36</v>
      </c>
      <c r="P5" s="9">
        <f t="shared" si="0"/>
        <v>12132</v>
      </c>
      <c r="Q5" s="9">
        <v>750</v>
      </c>
      <c r="R5" s="9">
        <f t="shared" si="1"/>
        <v>11382</v>
      </c>
      <c r="S5" s="9">
        <f t="shared" si="2"/>
        <v>114</v>
      </c>
      <c r="T5" s="17">
        <f t="shared" si="3"/>
        <v>11268</v>
      </c>
    </row>
    <row r="6" spans="1:20" x14ac:dyDescent="0.25">
      <c r="A6" s="1">
        <f t="shared" si="4"/>
        <v>5</v>
      </c>
      <c r="B6" s="1">
        <v>121</v>
      </c>
      <c r="C6" s="1" t="s">
        <v>20</v>
      </c>
      <c r="D6" s="2" t="s">
        <v>48</v>
      </c>
      <c r="E6" s="23" t="s">
        <v>49</v>
      </c>
      <c r="F6" s="4" t="s">
        <v>50</v>
      </c>
      <c r="G6" s="4" t="s">
        <v>51</v>
      </c>
      <c r="H6" s="4" t="s">
        <v>52</v>
      </c>
      <c r="I6" s="25" t="s">
        <v>53</v>
      </c>
      <c r="J6" s="1" t="s">
        <v>27</v>
      </c>
      <c r="K6" s="4">
        <v>8116979364</v>
      </c>
      <c r="L6" s="2" t="s">
        <v>54</v>
      </c>
      <c r="M6" s="1" t="s">
        <v>29</v>
      </c>
      <c r="N6" s="1">
        <v>44</v>
      </c>
      <c r="O6" s="1">
        <v>36</v>
      </c>
      <c r="P6" s="9">
        <f t="shared" si="0"/>
        <v>1584</v>
      </c>
      <c r="Q6" s="9">
        <v>0</v>
      </c>
      <c r="R6" s="9">
        <f t="shared" si="1"/>
        <v>1584</v>
      </c>
      <c r="S6" s="9">
        <f t="shared" si="2"/>
        <v>16</v>
      </c>
      <c r="T6" s="17">
        <f t="shared" si="3"/>
        <v>1568</v>
      </c>
    </row>
    <row r="7" spans="1:20" x14ac:dyDescent="0.25">
      <c r="A7" s="1">
        <f t="shared" si="4"/>
        <v>6</v>
      </c>
      <c r="B7" s="1">
        <v>123</v>
      </c>
      <c r="C7" s="1" t="s">
        <v>20</v>
      </c>
      <c r="D7" s="2" t="s">
        <v>55</v>
      </c>
      <c r="E7" s="23" t="s">
        <v>56</v>
      </c>
      <c r="F7" s="4" t="s">
        <v>57</v>
      </c>
      <c r="G7" s="4" t="s">
        <v>58</v>
      </c>
      <c r="H7" s="4" t="s">
        <v>59</v>
      </c>
      <c r="I7" s="25" t="s">
        <v>60</v>
      </c>
      <c r="J7" s="1" t="s">
        <v>27</v>
      </c>
      <c r="K7" s="4">
        <v>7001587123</v>
      </c>
      <c r="L7" s="2" t="s">
        <v>54</v>
      </c>
      <c r="M7" s="1" t="s">
        <v>29</v>
      </c>
      <c r="N7" s="1">
        <v>510</v>
      </c>
      <c r="O7" s="1">
        <v>36</v>
      </c>
      <c r="P7" s="9">
        <f t="shared" si="0"/>
        <v>18360</v>
      </c>
      <c r="Q7" s="9">
        <v>2000</v>
      </c>
      <c r="R7" s="9">
        <f t="shared" si="1"/>
        <v>16360</v>
      </c>
      <c r="S7" s="9">
        <f t="shared" si="2"/>
        <v>164</v>
      </c>
      <c r="T7" s="17">
        <f t="shared" si="3"/>
        <v>16196</v>
      </c>
    </row>
    <row r="8" spans="1:20" x14ac:dyDescent="0.25">
      <c r="A8" s="1">
        <f t="shared" si="4"/>
        <v>7</v>
      </c>
      <c r="B8" s="1">
        <v>125</v>
      </c>
      <c r="C8" s="1" t="s">
        <v>20</v>
      </c>
      <c r="D8" s="2" t="s">
        <v>61</v>
      </c>
      <c r="E8" s="23" t="s">
        <v>62</v>
      </c>
      <c r="F8" s="4" t="s">
        <v>63</v>
      </c>
      <c r="G8" s="4" t="s">
        <v>45</v>
      </c>
      <c r="H8" s="4" t="s">
        <v>64</v>
      </c>
      <c r="I8" s="25" t="s">
        <v>65</v>
      </c>
      <c r="J8" s="1" t="s">
        <v>27</v>
      </c>
      <c r="K8" s="4">
        <v>7557848108</v>
      </c>
      <c r="L8" s="2" t="s">
        <v>54</v>
      </c>
      <c r="M8" s="1" t="s">
        <v>29</v>
      </c>
      <c r="N8" s="1">
        <v>79</v>
      </c>
      <c r="O8" s="1">
        <v>36</v>
      </c>
      <c r="P8" s="9">
        <f t="shared" si="0"/>
        <v>2844</v>
      </c>
      <c r="Q8" s="9">
        <v>1500</v>
      </c>
      <c r="R8" s="9">
        <f t="shared" si="1"/>
        <v>1344</v>
      </c>
      <c r="S8" s="9">
        <f t="shared" si="2"/>
        <v>13</v>
      </c>
      <c r="T8" s="17">
        <f t="shared" si="3"/>
        <v>1331</v>
      </c>
    </row>
    <row r="9" spans="1:20" x14ac:dyDescent="0.25">
      <c r="A9" s="1">
        <f t="shared" si="4"/>
        <v>8</v>
      </c>
      <c r="B9" s="1">
        <v>126</v>
      </c>
      <c r="C9" s="1" t="s">
        <v>20</v>
      </c>
      <c r="D9" s="2" t="s">
        <v>66</v>
      </c>
      <c r="E9" s="23" t="s">
        <v>67</v>
      </c>
      <c r="F9" s="4" t="s">
        <v>68</v>
      </c>
      <c r="G9" s="4" t="s">
        <v>24</v>
      </c>
      <c r="H9" s="4" t="s">
        <v>69</v>
      </c>
      <c r="I9" s="25" t="s">
        <v>70</v>
      </c>
      <c r="J9" s="1" t="s">
        <v>27</v>
      </c>
      <c r="K9" s="4">
        <v>97355311494</v>
      </c>
      <c r="L9" s="2" t="s">
        <v>54</v>
      </c>
      <c r="M9" s="1" t="s">
        <v>29</v>
      </c>
      <c r="N9" s="1">
        <v>312</v>
      </c>
      <c r="O9" s="1">
        <v>36</v>
      </c>
      <c r="P9" s="9">
        <f t="shared" si="0"/>
        <v>11232</v>
      </c>
      <c r="Q9" s="9">
        <v>2100</v>
      </c>
      <c r="R9" s="9">
        <f t="shared" si="1"/>
        <v>9132</v>
      </c>
      <c r="S9" s="9">
        <f t="shared" si="2"/>
        <v>91</v>
      </c>
      <c r="T9" s="17">
        <f t="shared" si="3"/>
        <v>9041</v>
      </c>
    </row>
    <row r="10" spans="1:20" x14ac:dyDescent="0.25">
      <c r="A10" s="1">
        <f t="shared" si="4"/>
        <v>9</v>
      </c>
      <c r="B10" s="1">
        <v>127</v>
      </c>
      <c r="C10" s="1" t="s">
        <v>20</v>
      </c>
      <c r="D10" s="2" t="s">
        <v>71</v>
      </c>
      <c r="E10" s="23" t="s">
        <v>72</v>
      </c>
      <c r="F10" s="4" t="s">
        <v>73</v>
      </c>
      <c r="G10" s="4" t="s">
        <v>74</v>
      </c>
      <c r="H10" s="4" t="s">
        <v>75</v>
      </c>
      <c r="I10" s="25" t="s">
        <v>76</v>
      </c>
      <c r="J10" s="1" t="s">
        <v>27</v>
      </c>
      <c r="K10" s="4">
        <v>9064520095</v>
      </c>
      <c r="L10" s="2" t="s">
        <v>54</v>
      </c>
      <c r="M10" s="1" t="s">
        <v>29</v>
      </c>
      <c r="N10" s="1">
        <v>102</v>
      </c>
      <c r="O10" s="1">
        <v>36</v>
      </c>
      <c r="P10" s="9">
        <f t="shared" si="0"/>
        <v>3672</v>
      </c>
      <c r="Q10" s="9">
        <v>2000</v>
      </c>
      <c r="R10" s="9">
        <f t="shared" si="1"/>
        <v>1672</v>
      </c>
      <c r="S10" s="9">
        <f t="shared" si="2"/>
        <v>17</v>
      </c>
      <c r="T10" s="17">
        <f t="shared" si="3"/>
        <v>1655</v>
      </c>
    </row>
    <row r="11" spans="1:20" x14ac:dyDescent="0.25">
      <c r="A11" s="1">
        <f t="shared" si="4"/>
        <v>10</v>
      </c>
      <c r="B11" s="1">
        <v>131</v>
      </c>
      <c r="C11" s="1" t="s">
        <v>20</v>
      </c>
      <c r="D11" s="2" t="s">
        <v>77</v>
      </c>
      <c r="E11" s="23" t="s">
        <v>78</v>
      </c>
      <c r="F11" s="4" t="s">
        <v>79</v>
      </c>
      <c r="G11" s="4" t="s">
        <v>51</v>
      </c>
      <c r="H11" s="4" t="s">
        <v>80</v>
      </c>
      <c r="I11" s="25" t="s">
        <v>81</v>
      </c>
      <c r="J11" s="1" t="s">
        <v>27</v>
      </c>
      <c r="K11" s="4">
        <v>8348151673</v>
      </c>
      <c r="L11" s="2" t="s">
        <v>54</v>
      </c>
      <c r="M11" s="1" t="s">
        <v>29</v>
      </c>
      <c r="N11" s="1">
        <v>156</v>
      </c>
      <c r="O11" s="1">
        <v>36</v>
      </c>
      <c r="P11" s="9">
        <f t="shared" si="0"/>
        <v>5616</v>
      </c>
      <c r="Q11" s="9">
        <v>2200</v>
      </c>
      <c r="R11" s="9">
        <f t="shared" si="1"/>
        <v>3416</v>
      </c>
      <c r="S11" s="9">
        <f t="shared" si="2"/>
        <v>34</v>
      </c>
      <c r="T11" s="17">
        <f t="shared" si="3"/>
        <v>3382</v>
      </c>
    </row>
    <row r="12" spans="1:20" x14ac:dyDescent="0.25">
      <c r="A12" s="1">
        <f t="shared" si="4"/>
        <v>11</v>
      </c>
      <c r="B12" s="1">
        <v>132</v>
      </c>
      <c r="C12" s="1" t="s">
        <v>20</v>
      </c>
      <c r="D12" s="2" t="s">
        <v>82</v>
      </c>
      <c r="E12" s="23" t="s">
        <v>83</v>
      </c>
      <c r="F12" s="4" t="s">
        <v>50</v>
      </c>
      <c r="G12" s="4" t="s">
        <v>51</v>
      </c>
      <c r="H12" s="4" t="s">
        <v>84</v>
      </c>
      <c r="I12" s="25" t="s">
        <v>85</v>
      </c>
      <c r="J12" s="1" t="s">
        <v>27</v>
      </c>
      <c r="K12" s="4">
        <v>9749376451</v>
      </c>
      <c r="L12" s="2" t="s">
        <v>54</v>
      </c>
      <c r="M12" s="1" t="s">
        <v>29</v>
      </c>
      <c r="N12" s="1">
        <v>347</v>
      </c>
      <c r="O12" s="1">
        <v>36</v>
      </c>
      <c r="P12" s="9">
        <f t="shared" si="0"/>
        <v>12492</v>
      </c>
      <c r="Q12" s="9">
        <v>2000</v>
      </c>
      <c r="R12" s="9">
        <f t="shared" si="1"/>
        <v>10492</v>
      </c>
      <c r="S12" s="9">
        <f t="shared" si="2"/>
        <v>105</v>
      </c>
      <c r="T12" s="17">
        <f t="shared" si="3"/>
        <v>10387</v>
      </c>
    </row>
    <row r="13" spans="1:20" x14ac:dyDescent="0.25">
      <c r="A13" s="1">
        <f t="shared" si="4"/>
        <v>12</v>
      </c>
      <c r="B13" s="1">
        <v>135</v>
      </c>
      <c r="C13" s="1" t="s">
        <v>20</v>
      </c>
      <c r="D13" s="2" t="s">
        <v>86</v>
      </c>
      <c r="E13" s="23" t="s">
        <v>87</v>
      </c>
      <c r="F13" s="4" t="s">
        <v>79</v>
      </c>
      <c r="G13" s="4" t="s">
        <v>51</v>
      </c>
      <c r="H13" s="4" t="s">
        <v>88</v>
      </c>
      <c r="I13" s="25" t="s">
        <v>89</v>
      </c>
      <c r="J13" s="1" t="s">
        <v>27</v>
      </c>
      <c r="K13" s="4">
        <v>8250033590</v>
      </c>
      <c r="L13" s="2" t="s">
        <v>54</v>
      </c>
      <c r="M13" s="1" t="s">
        <v>29</v>
      </c>
      <c r="N13" s="1">
        <v>21</v>
      </c>
      <c r="O13" s="1">
        <v>36</v>
      </c>
      <c r="P13" s="9">
        <f t="shared" si="0"/>
        <v>756</v>
      </c>
      <c r="Q13" s="9">
        <v>0</v>
      </c>
      <c r="R13" s="9">
        <f t="shared" si="1"/>
        <v>756</v>
      </c>
      <c r="S13" s="9">
        <f t="shared" si="2"/>
        <v>8</v>
      </c>
      <c r="T13" s="17">
        <f t="shared" si="3"/>
        <v>748</v>
      </c>
    </row>
    <row r="14" spans="1:20" x14ac:dyDescent="0.25">
      <c r="A14" s="1">
        <f t="shared" si="4"/>
        <v>13</v>
      </c>
      <c r="B14" s="1">
        <v>137</v>
      </c>
      <c r="C14" s="1" t="s">
        <v>20</v>
      </c>
      <c r="D14" s="2" t="s">
        <v>90</v>
      </c>
      <c r="E14" s="23" t="s">
        <v>91</v>
      </c>
      <c r="F14" s="4" t="s">
        <v>92</v>
      </c>
      <c r="G14" s="4" t="s">
        <v>93</v>
      </c>
      <c r="H14" s="4" t="s">
        <v>94</v>
      </c>
      <c r="I14" s="25" t="s">
        <v>95</v>
      </c>
      <c r="J14" s="1" t="s">
        <v>27</v>
      </c>
      <c r="K14" s="4">
        <v>9564855711</v>
      </c>
      <c r="L14" s="2" t="s">
        <v>54</v>
      </c>
      <c r="M14" s="1" t="s">
        <v>29</v>
      </c>
      <c r="N14" s="1">
        <v>19</v>
      </c>
      <c r="O14" s="1">
        <v>36</v>
      </c>
      <c r="P14" s="9">
        <f t="shared" si="0"/>
        <v>684</v>
      </c>
      <c r="Q14" s="9">
        <v>0</v>
      </c>
      <c r="R14" s="9">
        <f t="shared" si="1"/>
        <v>684</v>
      </c>
      <c r="S14" s="9">
        <f t="shared" si="2"/>
        <v>7</v>
      </c>
      <c r="T14" s="17">
        <f t="shared" si="3"/>
        <v>677</v>
      </c>
    </row>
    <row r="15" spans="1:20" x14ac:dyDescent="0.25">
      <c r="A15" s="1">
        <f t="shared" si="4"/>
        <v>14</v>
      </c>
      <c r="B15" s="1">
        <v>140</v>
      </c>
      <c r="C15" s="1" t="s">
        <v>20</v>
      </c>
      <c r="D15" s="2" t="s">
        <v>96</v>
      </c>
      <c r="E15" s="23" t="s">
        <v>97</v>
      </c>
      <c r="F15" s="4" t="s">
        <v>50</v>
      </c>
      <c r="G15" s="4" t="s">
        <v>51</v>
      </c>
      <c r="H15" s="4" t="s">
        <v>98</v>
      </c>
      <c r="I15" s="25" t="s">
        <v>99</v>
      </c>
      <c r="J15" s="1" t="s">
        <v>27</v>
      </c>
      <c r="K15" s="4">
        <v>8250272354</v>
      </c>
      <c r="L15" s="2" t="s">
        <v>54</v>
      </c>
      <c r="M15" s="1" t="s">
        <v>29</v>
      </c>
      <c r="N15" s="1">
        <v>31</v>
      </c>
      <c r="O15" s="1">
        <v>36</v>
      </c>
      <c r="P15" s="9">
        <f t="shared" si="0"/>
        <v>1116</v>
      </c>
      <c r="Q15" s="9">
        <v>0</v>
      </c>
      <c r="R15" s="9">
        <f t="shared" si="1"/>
        <v>1116</v>
      </c>
      <c r="S15" s="9">
        <f t="shared" si="2"/>
        <v>11</v>
      </c>
      <c r="T15" s="17">
        <f t="shared" si="3"/>
        <v>1105</v>
      </c>
    </row>
    <row r="16" spans="1:20" x14ac:dyDescent="0.25">
      <c r="A16" s="1">
        <f t="shared" si="4"/>
        <v>15</v>
      </c>
      <c r="B16" s="1">
        <v>145</v>
      </c>
      <c r="C16" s="1" t="s">
        <v>20</v>
      </c>
      <c r="D16" s="2" t="s">
        <v>100</v>
      </c>
      <c r="E16" s="23" t="s">
        <v>101</v>
      </c>
      <c r="F16" s="4" t="s">
        <v>102</v>
      </c>
      <c r="G16" s="4" t="s">
        <v>51</v>
      </c>
      <c r="H16" s="4" t="s">
        <v>103</v>
      </c>
      <c r="I16" s="25" t="s">
        <v>104</v>
      </c>
      <c r="J16" s="1" t="s">
        <v>27</v>
      </c>
      <c r="K16" s="4">
        <v>9093800221</v>
      </c>
      <c r="L16" s="2" t="s">
        <v>105</v>
      </c>
      <c r="M16" s="1" t="s">
        <v>29</v>
      </c>
      <c r="N16" s="1">
        <v>37</v>
      </c>
      <c r="O16" s="1">
        <v>36</v>
      </c>
      <c r="P16" s="9">
        <f t="shared" si="0"/>
        <v>1332</v>
      </c>
      <c r="Q16" s="9">
        <v>0</v>
      </c>
      <c r="R16" s="9">
        <f t="shared" si="1"/>
        <v>1332</v>
      </c>
      <c r="S16" s="9">
        <f t="shared" si="2"/>
        <v>13</v>
      </c>
      <c r="T16" s="17">
        <f t="shared" si="3"/>
        <v>1319</v>
      </c>
    </row>
    <row r="17" spans="1:20" x14ac:dyDescent="0.25">
      <c r="A17" s="1">
        <f t="shared" si="4"/>
        <v>16</v>
      </c>
      <c r="B17" s="1">
        <v>151</v>
      </c>
      <c r="C17" s="1" t="s">
        <v>20</v>
      </c>
      <c r="D17" s="2" t="s">
        <v>106</v>
      </c>
      <c r="E17" s="23" t="s">
        <v>107</v>
      </c>
      <c r="F17" s="4" t="s">
        <v>108</v>
      </c>
      <c r="G17" s="4" t="s">
        <v>51</v>
      </c>
      <c r="H17" s="4" t="s">
        <v>109</v>
      </c>
      <c r="I17" s="25" t="s">
        <v>110</v>
      </c>
      <c r="J17" s="1" t="s">
        <v>27</v>
      </c>
      <c r="K17" s="4">
        <v>6296775481</v>
      </c>
      <c r="L17" s="2" t="s">
        <v>111</v>
      </c>
      <c r="M17" s="1" t="s">
        <v>29</v>
      </c>
      <c r="N17" s="1">
        <v>157</v>
      </c>
      <c r="O17" s="1">
        <v>36</v>
      </c>
      <c r="P17" s="9">
        <f t="shared" si="0"/>
        <v>5652</v>
      </c>
      <c r="Q17" s="9">
        <v>2500</v>
      </c>
      <c r="R17" s="9">
        <f t="shared" si="1"/>
        <v>3152</v>
      </c>
      <c r="S17" s="9">
        <f t="shared" si="2"/>
        <v>32</v>
      </c>
      <c r="T17" s="17">
        <f t="shared" si="3"/>
        <v>3120</v>
      </c>
    </row>
    <row r="18" spans="1:20" x14ac:dyDescent="0.25">
      <c r="A18" s="1">
        <f t="shared" si="4"/>
        <v>17</v>
      </c>
      <c r="B18" s="1">
        <v>152</v>
      </c>
      <c r="C18" s="1" t="s">
        <v>20</v>
      </c>
      <c r="D18" s="2" t="s">
        <v>112</v>
      </c>
      <c r="E18" s="23" t="s">
        <v>113</v>
      </c>
      <c r="F18" s="4" t="s">
        <v>114</v>
      </c>
      <c r="G18" s="4" t="s">
        <v>45</v>
      </c>
      <c r="H18" s="4" t="s">
        <v>115</v>
      </c>
      <c r="I18" s="25" t="s">
        <v>116</v>
      </c>
      <c r="J18" s="1" t="s">
        <v>27</v>
      </c>
      <c r="K18" s="4">
        <v>8906958656</v>
      </c>
      <c r="L18" s="2" t="s">
        <v>111</v>
      </c>
      <c r="M18" s="1" t="s">
        <v>29</v>
      </c>
      <c r="N18" s="1">
        <v>105</v>
      </c>
      <c r="O18" s="1">
        <v>36</v>
      </c>
      <c r="P18" s="9">
        <f t="shared" si="0"/>
        <v>3780</v>
      </c>
      <c r="Q18" s="9">
        <v>1000</v>
      </c>
      <c r="R18" s="9">
        <f t="shared" si="1"/>
        <v>2780</v>
      </c>
      <c r="S18" s="9">
        <f t="shared" si="2"/>
        <v>28</v>
      </c>
      <c r="T18" s="17">
        <f t="shared" si="3"/>
        <v>2752</v>
      </c>
    </row>
    <row r="19" spans="1:20" x14ac:dyDescent="0.25">
      <c r="A19" s="1">
        <f t="shared" si="4"/>
        <v>18</v>
      </c>
      <c r="B19" s="1">
        <v>153</v>
      </c>
      <c r="C19" s="1" t="s">
        <v>20</v>
      </c>
      <c r="D19" s="2" t="s">
        <v>117</v>
      </c>
      <c r="E19" s="23" t="s">
        <v>118</v>
      </c>
      <c r="F19" s="4" t="s">
        <v>119</v>
      </c>
      <c r="G19" s="4" t="s">
        <v>45</v>
      </c>
      <c r="H19" s="4" t="s">
        <v>120</v>
      </c>
      <c r="I19" s="25" t="s">
        <v>121</v>
      </c>
      <c r="J19" s="1" t="s">
        <v>27</v>
      </c>
      <c r="K19" s="4">
        <v>8509106684</v>
      </c>
      <c r="L19" s="2" t="s">
        <v>111</v>
      </c>
      <c r="M19" s="1" t="s">
        <v>29</v>
      </c>
      <c r="N19" s="1">
        <v>58</v>
      </c>
      <c r="O19" s="1">
        <v>36</v>
      </c>
      <c r="P19" s="9">
        <f t="shared" si="0"/>
        <v>2088</v>
      </c>
      <c r="Q19" s="9">
        <v>1000</v>
      </c>
      <c r="R19" s="9">
        <f t="shared" si="1"/>
        <v>1088</v>
      </c>
      <c r="S19" s="9">
        <f t="shared" si="2"/>
        <v>11</v>
      </c>
      <c r="T19" s="17">
        <f t="shared" si="3"/>
        <v>1077</v>
      </c>
    </row>
    <row r="20" spans="1:20" x14ac:dyDescent="0.25">
      <c r="A20" s="1">
        <f t="shared" si="4"/>
        <v>19</v>
      </c>
      <c r="B20" s="1">
        <v>160</v>
      </c>
      <c r="C20" s="1" t="s">
        <v>20</v>
      </c>
      <c r="D20" s="2" t="s">
        <v>122</v>
      </c>
      <c r="E20" s="23" t="s">
        <v>123</v>
      </c>
      <c r="F20" s="4" t="s">
        <v>124</v>
      </c>
      <c r="G20" s="4" t="s">
        <v>51</v>
      </c>
      <c r="H20" s="4" t="s">
        <v>125</v>
      </c>
      <c r="I20" s="25" t="s">
        <v>126</v>
      </c>
      <c r="J20" s="1" t="s">
        <v>27</v>
      </c>
      <c r="K20" s="4">
        <v>8389001536</v>
      </c>
      <c r="L20" s="2" t="s">
        <v>127</v>
      </c>
      <c r="M20" s="1" t="s">
        <v>29</v>
      </c>
      <c r="N20" s="1">
        <v>86</v>
      </c>
      <c r="O20" s="1">
        <v>36</v>
      </c>
      <c r="P20" s="9">
        <f t="shared" si="0"/>
        <v>3096</v>
      </c>
      <c r="Q20" s="9">
        <v>800</v>
      </c>
      <c r="R20" s="9">
        <f t="shared" si="1"/>
        <v>2296</v>
      </c>
      <c r="S20" s="9">
        <f t="shared" si="2"/>
        <v>23</v>
      </c>
      <c r="T20" s="17">
        <f t="shared" si="3"/>
        <v>2273</v>
      </c>
    </row>
    <row r="21" spans="1:20" x14ac:dyDescent="0.25">
      <c r="A21" s="1">
        <f t="shared" si="4"/>
        <v>20</v>
      </c>
      <c r="B21" s="1">
        <v>161</v>
      </c>
      <c r="C21" s="1" t="s">
        <v>20</v>
      </c>
      <c r="D21" s="2" t="s">
        <v>128</v>
      </c>
      <c r="E21" s="23" t="s">
        <v>129</v>
      </c>
      <c r="F21" s="4" t="s">
        <v>130</v>
      </c>
      <c r="G21" s="4" t="s">
        <v>51</v>
      </c>
      <c r="H21" s="4" t="s">
        <v>131</v>
      </c>
      <c r="I21" s="25" t="s">
        <v>132</v>
      </c>
      <c r="J21" s="1" t="s">
        <v>27</v>
      </c>
      <c r="K21" s="4">
        <v>6295397948</v>
      </c>
      <c r="L21" s="2" t="s">
        <v>127</v>
      </c>
      <c r="M21" s="1" t="s">
        <v>29</v>
      </c>
      <c r="N21" s="1">
        <v>196</v>
      </c>
      <c r="O21" s="1">
        <v>36</v>
      </c>
      <c r="P21" s="9">
        <f t="shared" si="0"/>
        <v>7056</v>
      </c>
      <c r="Q21" s="9">
        <v>2000</v>
      </c>
      <c r="R21" s="9">
        <f t="shared" si="1"/>
        <v>5056</v>
      </c>
      <c r="S21" s="9">
        <f t="shared" si="2"/>
        <v>51</v>
      </c>
      <c r="T21" s="17">
        <f t="shared" si="3"/>
        <v>5005</v>
      </c>
    </row>
    <row r="22" spans="1:20" x14ac:dyDescent="0.25">
      <c r="A22" s="1">
        <f t="shared" si="4"/>
        <v>21</v>
      </c>
      <c r="B22" s="1">
        <v>164</v>
      </c>
      <c r="C22" s="1" t="s">
        <v>20</v>
      </c>
      <c r="D22" s="2" t="s">
        <v>133</v>
      </c>
      <c r="E22" s="23" t="s">
        <v>134</v>
      </c>
      <c r="F22" s="4" t="s">
        <v>135</v>
      </c>
      <c r="G22" s="4" t="s">
        <v>136</v>
      </c>
      <c r="H22" s="4" t="s">
        <v>137</v>
      </c>
      <c r="I22" s="25" t="s">
        <v>138</v>
      </c>
      <c r="J22" s="1" t="s">
        <v>27</v>
      </c>
      <c r="K22" s="4">
        <v>6291521402</v>
      </c>
      <c r="L22" s="2" t="s">
        <v>127</v>
      </c>
      <c r="M22" s="1" t="s">
        <v>29</v>
      </c>
      <c r="N22" s="1">
        <v>115</v>
      </c>
      <c r="O22" s="1">
        <v>36</v>
      </c>
      <c r="P22" s="9">
        <f t="shared" si="0"/>
        <v>4140</v>
      </c>
      <c r="Q22" s="9">
        <v>0</v>
      </c>
      <c r="R22" s="9">
        <f t="shared" si="1"/>
        <v>4140</v>
      </c>
      <c r="S22" s="9">
        <f t="shared" si="2"/>
        <v>41</v>
      </c>
      <c r="T22" s="17">
        <f t="shared" si="3"/>
        <v>4099</v>
      </c>
    </row>
    <row r="23" spans="1:20" x14ac:dyDescent="0.25">
      <c r="A23" s="1">
        <f t="shared" si="4"/>
        <v>22</v>
      </c>
      <c r="B23" s="1">
        <v>181</v>
      </c>
      <c r="C23" s="1" t="s">
        <v>20</v>
      </c>
      <c r="D23" s="2" t="s">
        <v>139</v>
      </c>
      <c r="E23" s="23" t="s">
        <v>140</v>
      </c>
      <c r="F23" s="4" t="s">
        <v>79</v>
      </c>
      <c r="G23" s="4" t="s">
        <v>51</v>
      </c>
      <c r="H23" s="4" t="s">
        <v>141</v>
      </c>
      <c r="I23" s="25" t="s">
        <v>142</v>
      </c>
      <c r="J23" s="1" t="s">
        <v>27</v>
      </c>
      <c r="K23" s="4">
        <v>7557848108</v>
      </c>
      <c r="L23" s="2" t="s">
        <v>54</v>
      </c>
      <c r="M23" s="1" t="s">
        <v>29</v>
      </c>
      <c r="N23" s="1">
        <v>63</v>
      </c>
      <c r="O23" s="1">
        <v>36</v>
      </c>
      <c r="P23" s="9">
        <f t="shared" si="0"/>
        <v>2268</v>
      </c>
      <c r="Q23" s="9">
        <v>0</v>
      </c>
      <c r="R23" s="9">
        <f t="shared" si="1"/>
        <v>2268</v>
      </c>
      <c r="S23" s="9">
        <f t="shared" si="2"/>
        <v>23</v>
      </c>
      <c r="T23" s="17">
        <f t="shared" si="3"/>
        <v>2245</v>
      </c>
    </row>
    <row r="24" spans="1:20" x14ac:dyDescent="0.25">
      <c r="A24" s="1">
        <f t="shared" si="4"/>
        <v>23</v>
      </c>
      <c r="B24" s="1">
        <v>182</v>
      </c>
      <c r="C24" s="1" t="s">
        <v>20</v>
      </c>
      <c r="D24" s="2" t="s">
        <v>143</v>
      </c>
      <c r="E24" s="23" t="s">
        <v>144</v>
      </c>
      <c r="F24" s="4" t="s">
        <v>145</v>
      </c>
      <c r="G24" s="4" t="s">
        <v>45</v>
      </c>
      <c r="H24" s="4" t="s">
        <v>146</v>
      </c>
      <c r="I24" s="25" t="s">
        <v>147</v>
      </c>
      <c r="J24" s="1" t="s">
        <v>27</v>
      </c>
      <c r="K24" s="4">
        <v>6296775144</v>
      </c>
      <c r="L24" s="2" t="s">
        <v>54</v>
      </c>
      <c r="M24" s="1" t="s">
        <v>29</v>
      </c>
      <c r="N24" s="1">
        <v>10</v>
      </c>
      <c r="O24" s="1">
        <v>36</v>
      </c>
      <c r="P24" s="9">
        <f t="shared" si="0"/>
        <v>360</v>
      </c>
      <c r="Q24" s="9">
        <v>0</v>
      </c>
      <c r="R24" s="9">
        <f t="shared" si="1"/>
        <v>360</v>
      </c>
      <c r="S24" s="9">
        <f t="shared" si="2"/>
        <v>4</v>
      </c>
      <c r="T24" s="17">
        <f t="shared" si="3"/>
        <v>356</v>
      </c>
    </row>
    <row r="25" spans="1:20" x14ac:dyDescent="0.25">
      <c r="A25" s="1">
        <f t="shared" si="4"/>
        <v>24</v>
      </c>
      <c r="B25" s="1">
        <v>185</v>
      </c>
      <c r="C25" s="1" t="s">
        <v>20</v>
      </c>
      <c r="D25" s="2" t="s">
        <v>148</v>
      </c>
      <c r="E25" s="23" t="s">
        <v>149</v>
      </c>
      <c r="F25" s="4" t="s">
        <v>150</v>
      </c>
      <c r="G25" s="4" t="s">
        <v>51</v>
      </c>
      <c r="H25" s="4" t="s">
        <v>151</v>
      </c>
      <c r="I25" s="25" t="s">
        <v>152</v>
      </c>
      <c r="J25" s="1" t="s">
        <v>27</v>
      </c>
      <c r="K25" s="4">
        <v>9641866821</v>
      </c>
      <c r="L25" s="2" t="s">
        <v>54</v>
      </c>
      <c r="M25" s="1" t="s">
        <v>29</v>
      </c>
      <c r="N25" s="1">
        <v>22</v>
      </c>
      <c r="O25" s="1">
        <v>36</v>
      </c>
      <c r="P25" s="9">
        <f t="shared" si="0"/>
        <v>792</v>
      </c>
      <c r="Q25" s="9">
        <v>0</v>
      </c>
      <c r="R25" s="9">
        <f t="shared" si="1"/>
        <v>792</v>
      </c>
      <c r="S25" s="9">
        <f t="shared" si="2"/>
        <v>8</v>
      </c>
      <c r="T25" s="17">
        <f t="shared" si="3"/>
        <v>784</v>
      </c>
    </row>
    <row r="26" spans="1:20" x14ac:dyDescent="0.25">
      <c r="A26" s="1">
        <f t="shared" si="4"/>
        <v>25</v>
      </c>
      <c r="B26" s="1">
        <v>187</v>
      </c>
      <c r="C26" s="1" t="s">
        <v>20</v>
      </c>
      <c r="D26" s="2" t="s">
        <v>153</v>
      </c>
      <c r="E26" s="23" t="s">
        <v>154</v>
      </c>
      <c r="F26" s="4" t="s">
        <v>155</v>
      </c>
      <c r="G26" s="4" t="s">
        <v>51</v>
      </c>
      <c r="H26" s="4" t="s">
        <v>156</v>
      </c>
      <c r="I26" s="25" t="s">
        <v>157</v>
      </c>
      <c r="J26" s="1" t="s">
        <v>27</v>
      </c>
      <c r="K26" s="4">
        <v>8001116624</v>
      </c>
      <c r="L26" s="2" t="s">
        <v>54</v>
      </c>
      <c r="M26" s="1" t="s">
        <v>29</v>
      </c>
      <c r="N26" s="1">
        <v>10</v>
      </c>
      <c r="O26" s="1">
        <v>36</v>
      </c>
      <c r="P26" s="9">
        <f t="shared" si="0"/>
        <v>360</v>
      </c>
      <c r="Q26" s="9">
        <v>0</v>
      </c>
      <c r="R26" s="9">
        <f t="shared" si="1"/>
        <v>360</v>
      </c>
      <c r="S26" s="9">
        <f t="shared" si="2"/>
        <v>4</v>
      </c>
      <c r="T26" s="17">
        <f t="shared" si="3"/>
        <v>356</v>
      </c>
    </row>
    <row r="27" spans="1:20" x14ac:dyDescent="0.25">
      <c r="A27" s="1">
        <f t="shared" si="4"/>
        <v>26</v>
      </c>
      <c r="B27" s="1">
        <v>210</v>
      </c>
      <c r="C27" s="1" t="s">
        <v>20</v>
      </c>
      <c r="D27" s="2" t="s">
        <v>158</v>
      </c>
      <c r="E27" s="23" t="s">
        <v>159</v>
      </c>
      <c r="F27" s="4" t="s">
        <v>160</v>
      </c>
      <c r="G27" s="4" t="s">
        <v>24</v>
      </c>
      <c r="H27" s="4" t="s">
        <v>161</v>
      </c>
      <c r="I27" s="25" t="s">
        <v>162</v>
      </c>
      <c r="J27" s="1" t="s">
        <v>27</v>
      </c>
      <c r="K27" s="4">
        <v>8961956701</v>
      </c>
      <c r="L27" s="2" t="s">
        <v>163</v>
      </c>
      <c r="M27" s="1" t="s">
        <v>164</v>
      </c>
      <c r="N27" s="1">
        <v>382</v>
      </c>
      <c r="O27" s="1">
        <v>36</v>
      </c>
      <c r="P27" s="9">
        <f t="shared" si="0"/>
        <v>13752</v>
      </c>
      <c r="Q27" s="9">
        <v>4000</v>
      </c>
      <c r="R27" s="9">
        <f t="shared" si="1"/>
        <v>9752</v>
      </c>
      <c r="S27" s="9">
        <f t="shared" si="2"/>
        <v>98</v>
      </c>
      <c r="T27" s="17">
        <f t="shared" si="3"/>
        <v>9654</v>
      </c>
    </row>
    <row r="28" spans="1:20" x14ac:dyDescent="0.25">
      <c r="A28" s="1">
        <f t="shared" si="4"/>
        <v>27</v>
      </c>
      <c r="B28" s="1">
        <v>211</v>
      </c>
      <c r="C28" s="1" t="s">
        <v>20</v>
      </c>
      <c r="D28" s="2" t="s">
        <v>165</v>
      </c>
      <c r="E28" s="23" t="s">
        <v>166</v>
      </c>
      <c r="F28" s="4" t="s">
        <v>167</v>
      </c>
      <c r="G28" s="4" t="s">
        <v>51</v>
      </c>
      <c r="H28" s="4" t="s">
        <v>168</v>
      </c>
      <c r="I28" s="25" t="s">
        <v>169</v>
      </c>
      <c r="J28" s="1" t="s">
        <v>27</v>
      </c>
      <c r="K28" s="4">
        <v>9153508491</v>
      </c>
      <c r="L28" s="2" t="s">
        <v>163</v>
      </c>
      <c r="M28" s="1" t="s">
        <v>164</v>
      </c>
      <c r="N28" s="1">
        <v>356</v>
      </c>
      <c r="O28" s="1">
        <v>36</v>
      </c>
      <c r="P28" s="9">
        <f t="shared" si="0"/>
        <v>12816</v>
      </c>
      <c r="Q28" s="9">
        <v>5000</v>
      </c>
      <c r="R28" s="9">
        <f t="shared" si="1"/>
        <v>7816</v>
      </c>
      <c r="S28" s="9">
        <f t="shared" si="2"/>
        <v>78</v>
      </c>
      <c r="T28" s="17">
        <f t="shared" si="3"/>
        <v>7738</v>
      </c>
    </row>
    <row r="29" spans="1:20" x14ac:dyDescent="0.25">
      <c r="A29" s="1">
        <f t="shared" si="4"/>
        <v>28</v>
      </c>
      <c r="B29" s="1">
        <v>213</v>
      </c>
      <c r="C29" s="1" t="s">
        <v>20</v>
      </c>
      <c r="D29" s="2" t="s">
        <v>170</v>
      </c>
      <c r="E29" s="3" t="s">
        <v>171</v>
      </c>
      <c r="F29" s="4" t="s">
        <v>172</v>
      </c>
      <c r="G29" s="4" t="s">
        <v>51</v>
      </c>
      <c r="H29" s="4" t="s">
        <v>173</v>
      </c>
      <c r="I29" s="25" t="s">
        <v>174</v>
      </c>
      <c r="J29" s="1" t="s">
        <v>27</v>
      </c>
      <c r="K29" s="4">
        <v>0</v>
      </c>
      <c r="L29" s="2" t="s">
        <v>163</v>
      </c>
      <c r="M29" s="1" t="s">
        <v>164</v>
      </c>
      <c r="N29" s="1">
        <v>156</v>
      </c>
      <c r="O29" s="1">
        <v>36</v>
      </c>
      <c r="P29" s="9">
        <f t="shared" si="0"/>
        <v>5616</v>
      </c>
      <c r="Q29" s="9">
        <v>1000</v>
      </c>
      <c r="R29" s="9">
        <f t="shared" si="1"/>
        <v>4616</v>
      </c>
      <c r="S29" s="9">
        <f t="shared" si="2"/>
        <v>46</v>
      </c>
      <c r="T29" s="17">
        <f t="shared" si="3"/>
        <v>4570</v>
      </c>
    </row>
    <row r="30" spans="1:20" x14ac:dyDescent="0.25">
      <c r="A30" s="1">
        <f t="shared" si="4"/>
        <v>29</v>
      </c>
      <c r="B30" s="1">
        <v>214</v>
      </c>
      <c r="C30" s="1" t="s">
        <v>20</v>
      </c>
      <c r="D30" s="2" t="s">
        <v>175</v>
      </c>
      <c r="E30" s="23" t="s">
        <v>176</v>
      </c>
      <c r="F30" s="4" t="s">
        <v>177</v>
      </c>
      <c r="G30" s="4" t="s">
        <v>178</v>
      </c>
      <c r="H30" s="4" t="s">
        <v>179</v>
      </c>
      <c r="I30" s="25" t="s">
        <v>180</v>
      </c>
      <c r="J30" s="1" t="s">
        <v>27</v>
      </c>
      <c r="K30" s="4">
        <v>9088772663</v>
      </c>
      <c r="L30" s="2" t="s">
        <v>163</v>
      </c>
      <c r="M30" s="1" t="s">
        <v>164</v>
      </c>
      <c r="N30" s="1">
        <v>96</v>
      </c>
      <c r="O30" s="1">
        <v>36</v>
      </c>
      <c r="P30" s="9">
        <f t="shared" si="0"/>
        <v>3456</v>
      </c>
      <c r="Q30" s="9">
        <v>0</v>
      </c>
      <c r="R30" s="9">
        <f t="shared" si="1"/>
        <v>3456</v>
      </c>
      <c r="S30" s="9">
        <f t="shared" si="2"/>
        <v>35</v>
      </c>
      <c r="T30" s="17">
        <f t="shared" si="3"/>
        <v>3421</v>
      </c>
    </row>
    <row r="31" spans="1:20" x14ac:dyDescent="0.25">
      <c r="A31" s="1">
        <f t="shared" si="4"/>
        <v>30</v>
      </c>
      <c r="B31" s="1">
        <v>215</v>
      </c>
      <c r="C31" s="1" t="s">
        <v>20</v>
      </c>
      <c r="D31" s="2" t="s">
        <v>181</v>
      </c>
      <c r="E31" s="23" t="s">
        <v>182</v>
      </c>
      <c r="F31" s="4" t="s">
        <v>183</v>
      </c>
      <c r="G31" s="4" t="s">
        <v>51</v>
      </c>
      <c r="H31" s="4" t="s">
        <v>184</v>
      </c>
      <c r="I31" s="25" t="s">
        <v>185</v>
      </c>
      <c r="J31" s="1" t="s">
        <v>27</v>
      </c>
      <c r="K31" s="4">
        <v>9163004867</v>
      </c>
      <c r="L31" s="2" t="s">
        <v>163</v>
      </c>
      <c r="M31" s="1" t="s">
        <v>164</v>
      </c>
      <c r="N31" s="1">
        <v>52</v>
      </c>
      <c r="O31" s="1">
        <v>36</v>
      </c>
      <c r="P31" s="9">
        <f t="shared" si="0"/>
        <v>1872</v>
      </c>
      <c r="Q31" s="9">
        <v>0</v>
      </c>
      <c r="R31" s="9">
        <f t="shared" si="1"/>
        <v>1872</v>
      </c>
      <c r="S31" s="9">
        <f t="shared" si="2"/>
        <v>19</v>
      </c>
      <c r="T31" s="17">
        <f t="shared" si="3"/>
        <v>1853</v>
      </c>
    </row>
    <row r="32" spans="1:20" x14ac:dyDescent="0.25">
      <c r="A32" s="1">
        <f t="shared" si="4"/>
        <v>31</v>
      </c>
      <c r="B32" s="1">
        <v>217</v>
      </c>
      <c r="C32" s="1" t="s">
        <v>20</v>
      </c>
      <c r="D32" s="2" t="s">
        <v>186</v>
      </c>
      <c r="E32" s="23" t="s">
        <v>187</v>
      </c>
      <c r="F32" s="4" t="s">
        <v>188</v>
      </c>
      <c r="G32" s="4" t="s">
        <v>178</v>
      </c>
      <c r="H32" s="4" t="s">
        <v>189</v>
      </c>
      <c r="I32" s="25" t="s">
        <v>190</v>
      </c>
      <c r="J32" s="1" t="s">
        <v>27</v>
      </c>
      <c r="K32" s="4">
        <v>0</v>
      </c>
      <c r="L32" s="2" t="s">
        <v>163</v>
      </c>
      <c r="M32" s="1" t="s">
        <v>164</v>
      </c>
      <c r="N32" s="1">
        <v>37</v>
      </c>
      <c r="O32" s="1">
        <v>36</v>
      </c>
      <c r="P32" s="9">
        <f t="shared" si="0"/>
        <v>1332</v>
      </c>
      <c r="Q32" s="9">
        <v>0</v>
      </c>
      <c r="R32" s="9">
        <f t="shared" si="1"/>
        <v>1332</v>
      </c>
      <c r="S32" s="9">
        <f t="shared" si="2"/>
        <v>13</v>
      </c>
      <c r="T32" s="17">
        <f t="shared" si="3"/>
        <v>1319</v>
      </c>
    </row>
    <row r="33" spans="1:20" x14ac:dyDescent="0.25">
      <c r="A33" s="1">
        <f t="shared" si="4"/>
        <v>32</v>
      </c>
      <c r="B33" s="1">
        <v>224</v>
      </c>
      <c r="C33" s="1" t="s">
        <v>20</v>
      </c>
      <c r="D33" s="2" t="s">
        <v>191</v>
      </c>
      <c r="E33" s="23" t="s">
        <v>192</v>
      </c>
      <c r="F33" s="4" t="s">
        <v>193</v>
      </c>
      <c r="G33" s="4" t="s">
        <v>51</v>
      </c>
      <c r="H33" s="4" t="s">
        <v>194</v>
      </c>
      <c r="I33" s="25" t="s">
        <v>195</v>
      </c>
      <c r="J33" s="1" t="s">
        <v>27</v>
      </c>
      <c r="K33" s="4">
        <v>7029464483</v>
      </c>
      <c r="L33" s="2" t="s">
        <v>196</v>
      </c>
      <c r="M33" s="1" t="s">
        <v>164</v>
      </c>
      <c r="N33" s="1">
        <v>324</v>
      </c>
      <c r="O33" s="1">
        <v>36</v>
      </c>
      <c r="P33" s="9">
        <f t="shared" si="0"/>
        <v>11664</v>
      </c>
      <c r="Q33" s="9">
        <v>1000</v>
      </c>
      <c r="R33" s="9">
        <f t="shared" si="1"/>
        <v>10664</v>
      </c>
      <c r="S33" s="9">
        <f t="shared" si="2"/>
        <v>107</v>
      </c>
      <c r="T33" s="17">
        <f t="shared" si="3"/>
        <v>10557</v>
      </c>
    </row>
    <row r="34" spans="1:20" x14ac:dyDescent="0.25">
      <c r="A34" s="1">
        <f t="shared" si="4"/>
        <v>33</v>
      </c>
      <c r="B34" s="1">
        <v>231</v>
      </c>
      <c r="C34" s="1" t="s">
        <v>20</v>
      </c>
      <c r="D34" s="2" t="s">
        <v>197</v>
      </c>
      <c r="E34" s="23" t="s">
        <v>198</v>
      </c>
      <c r="F34" s="4" t="s">
        <v>199</v>
      </c>
      <c r="G34" s="4" t="s">
        <v>51</v>
      </c>
      <c r="H34" s="4" t="s">
        <v>200</v>
      </c>
      <c r="I34" s="25" t="s">
        <v>201</v>
      </c>
      <c r="J34" s="1" t="s">
        <v>27</v>
      </c>
      <c r="K34" s="4">
        <v>8116597165</v>
      </c>
      <c r="L34" s="2" t="s">
        <v>202</v>
      </c>
      <c r="M34" s="1" t="s">
        <v>164</v>
      </c>
      <c r="N34" s="1">
        <v>255</v>
      </c>
      <c r="O34" s="1">
        <v>36</v>
      </c>
      <c r="P34" s="9">
        <f t="shared" si="0"/>
        <v>9180</v>
      </c>
      <c r="Q34" s="9">
        <v>3000</v>
      </c>
      <c r="R34" s="9">
        <f t="shared" si="1"/>
        <v>6180</v>
      </c>
      <c r="S34" s="9">
        <f t="shared" si="2"/>
        <v>62</v>
      </c>
      <c r="T34" s="17">
        <f t="shared" si="3"/>
        <v>6118</v>
      </c>
    </row>
    <row r="35" spans="1:20" x14ac:dyDescent="0.25">
      <c r="A35" s="1">
        <f t="shared" si="4"/>
        <v>34</v>
      </c>
      <c r="B35" s="1">
        <v>236</v>
      </c>
      <c r="C35" s="1" t="s">
        <v>20</v>
      </c>
      <c r="D35" s="2" t="s">
        <v>203</v>
      </c>
      <c r="E35" s="23" t="s">
        <v>204</v>
      </c>
      <c r="F35" s="4" t="s">
        <v>205</v>
      </c>
      <c r="G35" s="4" t="s">
        <v>51</v>
      </c>
      <c r="H35" s="4" t="s">
        <v>206</v>
      </c>
      <c r="I35" s="25" t="s">
        <v>207</v>
      </c>
      <c r="J35" s="1" t="s">
        <v>27</v>
      </c>
      <c r="K35" s="4">
        <v>8436364549</v>
      </c>
      <c r="L35" s="2" t="s">
        <v>202</v>
      </c>
      <c r="M35" s="1" t="s">
        <v>164</v>
      </c>
      <c r="N35" s="1">
        <v>416</v>
      </c>
      <c r="O35" s="1">
        <v>36</v>
      </c>
      <c r="P35" s="9">
        <f t="shared" si="0"/>
        <v>14976</v>
      </c>
      <c r="Q35" s="9">
        <v>3000</v>
      </c>
      <c r="R35" s="9">
        <f t="shared" si="1"/>
        <v>11976</v>
      </c>
      <c r="S35" s="9">
        <f t="shared" si="2"/>
        <v>120</v>
      </c>
      <c r="T35" s="17">
        <f t="shared" si="3"/>
        <v>11856</v>
      </c>
    </row>
    <row r="36" spans="1:20" x14ac:dyDescent="0.25">
      <c r="A36" s="1">
        <f t="shared" si="4"/>
        <v>35</v>
      </c>
      <c r="B36" s="1">
        <v>239</v>
      </c>
      <c r="C36" s="1" t="s">
        <v>20</v>
      </c>
      <c r="D36" s="2" t="s">
        <v>208</v>
      </c>
      <c r="E36" s="23" t="s">
        <v>209</v>
      </c>
      <c r="F36" s="4" t="s">
        <v>210</v>
      </c>
      <c r="G36" s="4" t="s">
        <v>178</v>
      </c>
      <c r="H36" s="4" t="s">
        <v>211</v>
      </c>
      <c r="I36" s="25" t="s">
        <v>212</v>
      </c>
      <c r="J36" s="1" t="s">
        <v>27</v>
      </c>
      <c r="K36" s="4">
        <v>9749585424</v>
      </c>
      <c r="L36" s="2" t="s">
        <v>202</v>
      </c>
      <c r="M36" s="1" t="s">
        <v>164</v>
      </c>
      <c r="N36" s="1">
        <v>80</v>
      </c>
      <c r="O36" s="1">
        <v>36</v>
      </c>
      <c r="P36" s="9">
        <f t="shared" ref="P36:P56" si="5">N36*O36</f>
        <v>2880</v>
      </c>
      <c r="Q36" s="9">
        <v>1000</v>
      </c>
      <c r="R36" s="9">
        <f t="shared" ref="R36:R57" si="6">P36-Q36</f>
        <v>1880</v>
      </c>
      <c r="S36" s="9">
        <f t="shared" ref="S36:S57" si="7">ROUND(R36*1%,0)</f>
        <v>19</v>
      </c>
      <c r="T36" s="17">
        <f t="shared" ref="T36:T57" si="8">R36-S36</f>
        <v>1861</v>
      </c>
    </row>
    <row r="37" spans="1:20" x14ac:dyDescent="0.25">
      <c r="A37" s="1">
        <f t="shared" si="4"/>
        <v>36</v>
      </c>
      <c r="B37" s="1">
        <v>251</v>
      </c>
      <c r="C37" s="1" t="s">
        <v>20</v>
      </c>
      <c r="D37" s="2" t="s">
        <v>213</v>
      </c>
      <c r="E37" s="23" t="s">
        <v>214</v>
      </c>
      <c r="F37" s="4" t="s">
        <v>215</v>
      </c>
      <c r="G37" s="4" t="s">
        <v>51</v>
      </c>
      <c r="H37" s="4" t="s">
        <v>216</v>
      </c>
      <c r="I37" s="25" t="s">
        <v>217</v>
      </c>
      <c r="J37" s="1" t="s">
        <v>27</v>
      </c>
      <c r="K37" s="4">
        <v>6295310194</v>
      </c>
      <c r="L37" s="2" t="s">
        <v>196</v>
      </c>
      <c r="M37" s="1" t="s">
        <v>164</v>
      </c>
      <c r="N37" s="1">
        <v>15</v>
      </c>
      <c r="O37" s="1">
        <v>36</v>
      </c>
      <c r="P37" s="9">
        <f t="shared" si="5"/>
        <v>540</v>
      </c>
      <c r="Q37" s="9">
        <v>0</v>
      </c>
      <c r="R37" s="9">
        <f t="shared" si="6"/>
        <v>540</v>
      </c>
      <c r="S37" s="9">
        <f t="shared" si="7"/>
        <v>5</v>
      </c>
      <c r="T37" s="17">
        <f t="shared" si="8"/>
        <v>535</v>
      </c>
    </row>
    <row r="38" spans="1:20" x14ac:dyDescent="0.25">
      <c r="A38" s="1">
        <f t="shared" si="4"/>
        <v>37</v>
      </c>
      <c r="B38" s="1">
        <v>263</v>
      </c>
      <c r="C38" s="1" t="s">
        <v>20</v>
      </c>
      <c r="D38" s="2" t="s">
        <v>218</v>
      </c>
      <c r="E38" s="23" t="s">
        <v>219</v>
      </c>
      <c r="F38" s="4" t="s">
        <v>220</v>
      </c>
      <c r="G38" s="4" t="s">
        <v>24</v>
      </c>
      <c r="H38" s="4" t="s">
        <v>221</v>
      </c>
      <c r="I38" s="25" t="s">
        <v>222</v>
      </c>
      <c r="J38" s="1" t="s">
        <v>27</v>
      </c>
      <c r="K38" s="4">
        <v>7439867940</v>
      </c>
      <c r="L38" s="2" t="s">
        <v>223</v>
      </c>
      <c r="M38" s="1" t="s">
        <v>164</v>
      </c>
      <c r="N38" s="1">
        <v>114</v>
      </c>
      <c r="O38" s="1">
        <v>36</v>
      </c>
      <c r="P38" s="9">
        <f t="shared" si="5"/>
        <v>4104</v>
      </c>
      <c r="Q38" s="9">
        <v>1000</v>
      </c>
      <c r="R38" s="9">
        <f t="shared" si="6"/>
        <v>3104</v>
      </c>
      <c r="S38" s="9">
        <f t="shared" si="7"/>
        <v>31</v>
      </c>
      <c r="T38" s="17">
        <f t="shared" si="8"/>
        <v>3073</v>
      </c>
    </row>
    <row r="39" spans="1:20" x14ac:dyDescent="0.25">
      <c r="A39" s="1">
        <f t="shared" si="4"/>
        <v>38</v>
      </c>
      <c r="B39" s="1">
        <v>264</v>
      </c>
      <c r="C39" s="1" t="s">
        <v>20</v>
      </c>
      <c r="D39" s="2" t="s">
        <v>224</v>
      </c>
      <c r="E39" s="23" t="s">
        <v>225</v>
      </c>
      <c r="F39" s="4" t="s">
        <v>114</v>
      </c>
      <c r="G39" s="4" t="s">
        <v>178</v>
      </c>
      <c r="H39" s="4" t="s">
        <v>226</v>
      </c>
      <c r="I39" s="25" t="s">
        <v>227</v>
      </c>
      <c r="J39" s="1" t="s">
        <v>27</v>
      </c>
      <c r="K39" s="4">
        <v>0</v>
      </c>
      <c r="L39" s="2" t="s">
        <v>223</v>
      </c>
      <c r="M39" s="1" t="s">
        <v>164</v>
      </c>
      <c r="N39" s="1">
        <v>47</v>
      </c>
      <c r="O39" s="1">
        <v>36</v>
      </c>
      <c r="P39" s="9">
        <f t="shared" si="5"/>
        <v>1692</v>
      </c>
      <c r="Q39" s="9">
        <v>1200</v>
      </c>
      <c r="R39" s="9">
        <f t="shared" si="6"/>
        <v>492</v>
      </c>
      <c r="S39" s="9">
        <f t="shared" si="7"/>
        <v>5</v>
      </c>
      <c r="T39" s="17">
        <f t="shared" si="8"/>
        <v>487</v>
      </c>
    </row>
    <row r="40" spans="1:20" x14ac:dyDescent="0.25">
      <c r="A40" s="1">
        <f t="shared" si="4"/>
        <v>39</v>
      </c>
      <c r="B40" s="1">
        <v>301</v>
      </c>
      <c r="C40" s="1" t="s">
        <v>20</v>
      </c>
      <c r="D40" s="2" t="s">
        <v>228</v>
      </c>
      <c r="E40" s="23" t="s">
        <v>229</v>
      </c>
      <c r="F40" s="4" t="s">
        <v>230</v>
      </c>
      <c r="G40" s="4" t="s">
        <v>51</v>
      </c>
      <c r="H40" s="4" t="s">
        <v>231</v>
      </c>
      <c r="I40" s="25" t="s">
        <v>232</v>
      </c>
      <c r="J40" s="1" t="s">
        <v>27</v>
      </c>
      <c r="K40" s="4">
        <v>8017648519</v>
      </c>
      <c r="L40" s="2" t="s">
        <v>233</v>
      </c>
      <c r="M40" s="1" t="s">
        <v>234</v>
      </c>
      <c r="N40" s="1">
        <v>346</v>
      </c>
      <c r="O40" s="1">
        <v>36</v>
      </c>
      <c r="P40" s="9">
        <f t="shared" si="5"/>
        <v>12456</v>
      </c>
      <c r="Q40" s="9">
        <v>2000</v>
      </c>
      <c r="R40" s="9">
        <f t="shared" si="6"/>
        <v>10456</v>
      </c>
      <c r="S40" s="9">
        <f t="shared" si="7"/>
        <v>105</v>
      </c>
      <c r="T40" s="17">
        <f t="shared" si="8"/>
        <v>10351</v>
      </c>
    </row>
    <row r="41" spans="1:20" x14ac:dyDescent="0.25">
      <c r="A41" s="1">
        <f t="shared" si="4"/>
        <v>40</v>
      </c>
      <c r="B41" s="1">
        <v>303</v>
      </c>
      <c r="C41" s="1" t="s">
        <v>20</v>
      </c>
      <c r="D41" s="2" t="s">
        <v>235</v>
      </c>
      <c r="E41" s="23" t="s">
        <v>236</v>
      </c>
      <c r="F41" s="4" t="s">
        <v>237</v>
      </c>
      <c r="G41" s="4" t="s">
        <v>238</v>
      </c>
      <c r="H41" s="4" t="s">
        <v>239</v>
      </c>
      <c r="I41" s="25" t="s">
        <v>240</v>
      </c>
      <c r="J41" s="1" t="s">
        <v>27</v>
      </c>
      <c r="K41" s="4">
        <v>8910229724</v>
      </c>
      <c r="L41" s="2" t="s">
        <v>233</v>
      </c>
      <c r="M41" s="1" t="s">
        <v>234</v>
      </c>
      <c r="N41" s="1">
        <v>156</v>
      </c>
      <c r="O41" s="1">
        <v>36</v>
      </c>
      <c r="P41" s="9">
        <f t="shared" si="5"/>
        <v>5616</v>
      </c>
      <c r="Q41" s="9">
        <v>3000</v>
      </c>
      <c r="R41" s="9">
        <f t="shared" si="6"/>
        <v>2616</v>
      </c>
      <c r="S41" s="9">
        <f t="shared" si="7"/>
        <v>26</v>
      </c>
      <c r="T41" s="17">
        <f t="shared" si="8"/>
        <v>2590</v>
      </c>
    </row>
    <row r="42" spans="1:20" x14ac:dyDescent="0.25">
      <c r="A42" s="1">
        <f t="shared" si="4"/>
        <v>41</v>
      </c>
      <c r="B42" s="1">
        <v>316</v>
      </c>
      <c r="C42" s="1" t="s">
        <v>20</v>
      </c>
      <c r="D42" s="2" t="s">
        <v>241</v>
      </c>
      <c r="E42" s="23" t="s">
        <v>242</v>
      </c>
      <c r="F42" s="4" t="s">
        <v>243</v>
      </c>
      <c r="G42" s="4" t="s">
        <v>45</v>
      </c>
      <c r="H42" s="4" t="s">
        <v>244</v>
      </c>
      <c r="I42" s="25" t="s">
        <v>245</v>
      </c>
      <c r="J42" s="1" t="s">
        <v>27</v>
      </c>
      <c r="K42" s="4">
        <v>9749089863</v>
      </c>
      <c r="L42" s="2" t="s">
        <v>246</v>
      </c>
      <c r="M42" s="1" t="s">
        <v>234</v>
      </c>
      <c r="N42" s="1">
        <v>405</v>
      </c>
      <c r="O42" s="1">
        <v>36</v>
      </c>
      <c r="P42" s="9">
        <f t="shared" si="5"/>
        <v>14580</v>
      </c>
      <c r="Q42" s="9">
        <v>2500</v>
      </c>
      <c r="R42" s="9">
        <f t="shared" si="6"/>
        <v>12080</v>
      </c>
      <c r="S42" s="9">
        <f t="shared" si="7"/>
        <v>121</v>
      </c>
      <c r="T42" s="17">
        <f t="shared" si="8"/>
        <v>11959</v>
      </c>
    </row>
    <row r="43" spans="1:20" x14ac:dyDescent="0.25">
      <c r="A43" s="1">
        <f t="shared" si="4"/>
        <v>42</v>
      </c>
      <c r="B43" s="1">
        <v>317</v>
      </c>
      <c r="C43" s="1" t="s">
        <v>20</v>
      </c>
      <c r="D43" s="2" t="s">
        <v>247</v>
      </c>
      <c r="E43" s="23" t="s">
        <v>248</v>
      </c>
      <c r="F43" s="4" t="s">
        <v>249</v>
      </c>
      <c r="G43" s="4" t="s">
        <v>24</v>
      </c>
      <c r="H43" s="4" t="s">
        <v>250</v>
      </c>
      <c r="I43" s="25" t="s">
        <v>251</v>
      </c>
      <c r="J43" s="1" t="s">
        <v>27</v>
      </c>
      <c r="K43" s="4">
        <v>9382564941</v>
      </c>
      <c r="L43" s="2" t="s">
        <v>246</v>
      </c>
      <c r="M43" s="1" t="s">
        <v>234</v>
      </c>
      <c r="N43" s="1">
        <v>56</v>
      </c>
      <c r="O43" s="1">
        <v>36</v>
      </c>
      <c r="P43" s="9">
        <f t="shared" si="5"/>
        <v>2016</v>
      </c>
      <c r="Q43" s="9">
        <v>500</v>
      </c>
      <c r="R43" s="9">
        <f t="shared" si="6"/>
        <v>1516</v>
      </c>
      <c r="S43" s="9">
        <f t="shared" si="7"/>
        <v>15</v>
      </c>
      <c r="T43" s="17">
        <f t="shared" si="8"/>
        <v>1501</v>
      </c>
    </row>
    <row r="44" spans="1:20" x14ac:dyDescent="0.25">
      <c r="A44" s="1">
        <f t="shared" si="4"/>
        <v>43</v>
      </c>
      <c r="B44" s="1">
        <v>318</v>
      </c>
      <c r="C44" s="1" t="s">
        <v>20</v>
      </c>
      <c r="D44" s="2" t="s">
        <v>252</v>
      </c>
      <c r="E44" s="23" t="s">
        <v>253</v>
      </c>
      <c r="F44" s="4" t="s">
        <v>254</v>
      </c>
      <c r="G44" s="4" t="s">
        <v>51</v>
      </c>
      <c r="H44" s="4" t="s">
        <v>255</v>
      </c>
      <c r="I44" s="25" t="s">
        <v>256</v>
      </c>
      <c r="J44" s="1" t="s">
        <v>27</v>
      </c>
      <c r="K44" s="4">
        <v>8101032036</v>
      </c>
      <c r="L44" s="2" t="s">
        <v>246</v>
      </c>
      <c r="M44" s="1" t="s">
        <v>234</v>
      </c>
      <c r="N44" s="1">
        <v>97</v>
      </c>
      <c r="O44" s="1">
        <v>36</v>
      </c>
      <c r="P44" s="9">
        <f t="shared" si="5"/>
        <v>3492</v>
      </c>
      <c r="Q44" s="9">
        <v>1000</v>
      </c>
      <c r="R44" s="9">
        <f t="shared" si="6"/>
        <v>2492</v>
      </c>
      <c r="S44" s="9">
        <f t="shared" si="7"/>
        <v>25</v>
      </c>
      <c r="T44" s="17">
        <f t="shared" si="8"/>
        <v>2467</v>
      </c>
    </row>
    <row r="45" spans="1:20" x14ac:dyDescent="0.25">
      <c r="A45" s="1">
        <f t="shared" si="4"/>
        <v>44</v>
      </c>
      <c r="B45" s="1">
        <v>319</v>
      </c>
      <c r="C45" s="1" t="s">
        <v>20</v>
      </c>
      <c r="D45" s="2" t="s">
        <v>257</v>
      </c>
      <c r="E45" s="23" t="s">
        <v>258</v>
      </c>
      <c r="F45" s="4" t="s">
        <v>259</v>
      </c>
      <c r="G45" s="4" t="s">
        <v>51</v>
      </c>
      <c r="H45" s="4" t="s">
        <v>260</v>
      </c>
      <c r="I45" s="25" t="s">
        <v>261</v>
      </c>
      <c r="J45" s="1" t="s">
        <v>27</v>
      </c>
      <c r="K45" s="4">
        <v>8167594511</v>
      </c>
      <c r="L45" s="2" t="s">
        <v>246</v>
      </c>
      <c r="M45" s="1" t="s">
        <v>234</v>
      </c>
      <c r="N45" s="1">
        <v>176</v>
      </c>
      <c r="O45" s="1">
        <v>36</v>
      </c>
      <c r="P45" s="9">
        <f t="shared" si="5"/>
        <v>6336</v>
      </c>
      <c r="Q45" s="9">
        <v>1500</v>
      </c>
      <c r="R45" s="9">
        <f t="shared" si="6"/>
        <v>4836</v>
      </c>
      <c r="S45" s="9">
        <f t="shared" si="7"/>
        <v>48</v>
      </c>
      <c r="T45" s="17">
        <f t="shared" si="8"/>
        <v>4788</v>
      </c>
    </row>
    <row r="46" spans="1:20" x14ac:dyDescent="0.25">
      <c r="A46" s="1">
        <f t="shared" si="4"/>
        <v>45</v>
      </c>
      <c r="B46" s="1">
        <v>320</v>
      </c>
      <c r="C46" s="1" t="s">
        <v>20</v>
      </c>
      <c r="D46" s="2" t="s">
        <v>262</v>
      </c>
      <c r="E46" s="23" t="s">
        <v>263</v>
      </c>
      <c r="F46" s="4" t="s">
        <v>264</v>
      </c>
      <c r="G46" s="4" t="s">
        <v>265</v>
      </c>
      <c r="H46" s="4" t="s">
        <v>266</v>
      </c>
      <c r="I46" s="25" t="s">
        <v>267</v>
      </c>
      <c r="J46" s="1" t="s">
        <v>27</v>
      </c>
      <c r="K46" s="4">
        <v>9064677214</v>
      </c>
      <c r="L46" s="2" t="s">
        <v>246</v>
      </c>
      <c r="M46" s="1" t="s">
        <v>234</v>
      </c>
      <c r="N46" s="1">
        <v>196</v>
      </c>
      <c r="O46" s="1">
        <v>36</v>
      </c>
      <c r="P46" s="9">
        <f t="shared" si="5"/>
        <v>7056</v>
      </c>
      <c r="Q46" s="9">
        <v>1500</v>
      </c>
      <c r="R46" s="9">
        <f t="shared" si="6"/>
        <v>5556</v>
      </c>
      <c r="S46" s="9">
        <f t="shared" si="7"/>
        <v>56</v>
      </c>
      <c r="T46" s="17">
        <f t="shared" si="8"/>
        <v>5500</v>
      </c>
    </row>
    <row r="47" spans="1:20" x14ac:dyDescent="0.25">
      <c r="A47" s="1">
        <f t="shared" si="4"/>
        <v>46</v>
      </c>
      <c r="B47" s="1">
        <v>321</v>
      </c>
      <c r="C47" s="1" t="s">
        <v>20</v>
      </c>
      <c r="D47" s="2" t="s">
        <v>268</v>
      </c>
      <c r="E47" s="3" t="s">
        <v>269</v>
      </c>
      <c r="F47" s="4" t="s">
        <v>270</v>
      </c>
      <c r="G47" s="4" t="s">
        <v>51</v>
      </c>
      <c r="H47" s="4" t="s">
        <v>271</v>
      </c>
      <c r="I47" s="25" t="s">
        <v>272</v>
      </c>
      <c r="J47" s="1" t="s">
        <v>27</v>
      </c>
      <c r="K47" s="4">
        <v>8001044877</v>
      </c>
      <c r="L47" s="2" t="s">
        <v>246</v>
      </c>
      <c r="M47" s="1" t="s">
        <v>234</v>
      </c>
      <c r="N47" s="1">
        <v>120</v>
      </c>
      <c r="O47" s="1">
        <v>36</v>
      </c>
      <c r="P47" s="9">
        <f t="shared" si="5"/>
        <v>4320</v>
      </c>
      <c r="Q47" s="9">
        <v>1000</v>
      </c>
      <c r="R47" s="9">
        <f t="shared" si="6"/>
        <v>3320</v>
      </c>
      <c r="S47" s="9">
        <f t="shared" si="7"/>
        <v>33</v>
      </c>
      <c r="T47" s="17">
        <f t="shared" si="8"/>
        <v>3287</v>
      </c>
    </row>
    <row r="48" spans="1:20" x14ac:dyDescent="0.25">
      <c r="A48" s="1">
        <f t="shared" si="4"/>
        <v>47</v>
      </c>
      <c r="B48" s="1">
        <v>322</v>
      </c>
      <c r="C48" s="1" t="s">
        <v>20</v>
      </c>
      <c r="D48" s="2" t="s">
        <v>273</v>
      </c>
      <c r="E48" s="23" t="s">
        <v>274</v>
      </c>
      <c r="F48" s="4" t="s">
        <v>270</v>
      </c>
      <c r="G48" s="4" t="s">
        <v>51</v>
      </c>
      <c r="H48" s="4" t="s">
        <v>275</v>
      </c>
      <c r="I48" s="25" t="s">
        <v>276</v>
      </c>
      <c r="J48" s="1" t="s">
        <v>27</v>
      </c>
      <c r="K48" s="4">
        <v>7908901954</v>
      </c>
      <c r="L48" s="2" t="s">
        <v>246</v>
      </c>
      <c r="M48" s="1" t="s">
        <v>234</v>
      </c>
      <c r="N48" s="1">
        <v>357</v>
      </c>
      <c r="O48" s="1">
        <v>36</v>
      </c>
      <c r="P48" s="9">
        <f t="shared" si="5"/>
        <v>12852</v>
      </c>
      <c r="Q48" s="9">
        <v>3000</v>
      </c>
      <c r="R48" s="9">
        <f t="shared" si="6"/>
        <v>9852</v>
      </c>
      <c r="S48" s="9">
        <f t="shared" si="7"/>
        <v>99</v>
      </c>
      <c r="T48" s="17">
        <f t="shared" si="8"/>
        <v>9753</v>
      </c>
    </row>
    <row r="49" spans="1:20" x14ac:dyDescent="0.25">
      <c r="A49" s="1">
        <f t="shared" si="4"/>
        <v>48</v>
      </c>
      <c r="B49" s="1">
        <v>323</v>
      </c>
      <c r="C49" s="1" t="s">
        <v>20</v>
      </c>
      <c r="D49" s="2" t="s">
        <v>277</v>
      </c>
      <c r="E49" s="23" t="s">
        <v>278</v>
      </c>
      <c r="F49" s="4" t="s">
        <v>279</v>
      </c>
      <c r="G49" s="4" t="s">
        <v>45</v>
      </c>
      <c r="H49" s="4" t="s">
        <v>280</v>
      </c>
      <c r="I49" s="25" t="s">
        <v>281</v>
      </c>
      <c r="J49" s="1" t="s">
        <v>27</v>
      </c>
      <c r="K49" s="4">
        <v>7718128693</v>
      </c>
      <c r="L49" s="2" t="s">
        <v>246</v>
      </c>
      <c r="M49" s="1" t="s">
        <v>234</v>
      </c>
      <c r="N49" s="1">
        <v>264</v>
      </c>
      <c r="O49" s="1">
        <v>36</v>
      </c>
      <c r="P49" s="9">
        <f t="shared" si="5"/>
        <v>9504</v>
      </c>
      <c r="Q49" s="9">
        <v>2500</v>
      </c>
      <c r="R49" s="9">
        <f t="shared" si="6"/>
        <v>7004</v>
      </c>
      <c r="S49" s="9">
        <f t="shared" si="7"/>
        <v>70</v>
      </c>
      <c r="T49" s="17">
        <f t="shared" si="8"/>
        <v>6934</v>
      </c>
    </row>
    <row r="50" spans="1:20" x14ac:dyDescent="0.25">
      <c r="A50" s="1">
        <f t="shared" si="4"/>
        <v>49</v>
      </c>
      <c r="B50" s="1">
        <v>324</v>
      </c>
      <c r="C50" s="1" t="s">
        <v>20</v>
      </c>
      <c r="D50" s="2" t="s">
        <v>282</v>
      </c>
      <c r="E50" s="23" t="s">
        <v>283</v>
      </c>
      <c r="F50" s="4" t="s">
        <v>284</v>
      </c>
      <c r="G50" s="4" t="s">
        <v>51</v>
      </c>
      <c r="H50" s="4" t="s">
        <v>285</v>
      </c>
      <c r="I50" s="25" t="s">
        <v>286</v>
      </c>
      <c r="J50" s="1" t="s">
        <v>27</v>
      </c>
      <c r="K50" s="4">
        <v>9609480230</v>
      </c>
      <c r="L50" s="2" t="s">
        <v>246</v>
      </c>
      <c r="M50" s="1" t="s">
        <v>234</v>
      </c>
      <c r="N50" s="1">
        <v>263</v>
      </c>
      <c r="O50" s="1">
        <v>36</v>
      </c>
      <c r="P50" s="9">
        <f t="shared" si="5"/>
        <v>9468</v>
      </c>
      <c r="Q50" s="9">
        <v>2000</v>
      </c>
      <c r="R50" s="9">
        <f t="shared" si="6"/>
        <v>7468</v>
      </c>
      <c r="S50" s="9">
        <f t="shared" si="7"/>
        <v>75</v>
      </c>
      <c r="T50" s="17">
        <f t="shared" si="8"/>
        <v>7393</v>
      </c>
    </row>
    <row r="51" spans="1:20" x14ac:dyDescent="0.25">
      <c r="A51" s="1">
        <f t="shared" si="4"/>
        <v>50</v>
      </c>
      <c r="B51" s="1">
        <v>325</v>
      </c>
      <c r="C51" s="1" t="s">
        <v>20</v>
      </c>
      <c r="D51" s="2" t="s">
        <v>287</v>
      </c>
      <c r="E51" s="23" t="s">
        <v>288</v>
      </c>
      <c r="F51" s="4" t="s">
        <v>289</v>
      </c>
      <c r="G51" s="4" t="s">
        <v>51</v>
      </c>
      <c r="H51" s="4" t="s">
        <v>290</v>
      </c>
      <c r="I51" s="25" t="s">
        <v>291</v>
      </c>
      <c r="J51" s="1" t="s">
        <v>27</v>
      </c>
      <c r="K51" s="4">
        <v>8906241716</v>
      </c>
      <c r="L51" s="2" t="s">
        <v>246</v>
      </c>
      <c r="M51" s="1" t="s">
        <v>234</v>
      </c>
      <c r="N51" s="1">
        <v>17</v>
      </c>
      <c r="O51" s="1">
        <v>36</v>
      </c>
      <c r="P51" s="9">
        <f t="shared" si="5"/>
        <v>612</v>
      </c>
      <c r="Q51" s="9">
        <v>0</v>
      </c>
      <c r="R51" s="9">
        <f t="shared" si="6"/>
        <v>612</v>
      </c>
      <c r="S51" s="9">
        <f t="shared" si="7"/>
        <v>6</v>
      </c>
      <c r="T51" s="17">
        <f t="shared" si="8"/>
        <v>606</v>
      </c>
    </row>
    <row r="52" spans="1:20" x14ac:dyDescent="0.25">
      <c r="A52" s="1">
        <f t="shared" si="4"/>
        <v>51</v>
      </c>
      <c r="B52" s="1">
        <v>327</v>
      </c>
      <c r="C52" s="1" t="s">
        <v>20</v>
      </c>
      <c r="D52" s="2" t="s">
        <v>292</v>
      </c>
      <c r="E52" s="23" t="s">
        <v>293</v>
      </c>
      <c r="F52" s="4" t="s">
        <v>294</v>
      </c>
      <c r="G52" s="4" t="s">
        <v>45</v>
      </c>
      <c r="H52" s="4" t="s">
        <v>295</v>
      </c>
      <c r="I52" s="25" t="s">
        <v>296</v>
      </c>
      <c r="J52" s="1" t="s">
        <v>27</v>
      </c>
      <c r="K52" s="4">
        <v>7319147309</v>
      </c>
      <c r="L52" s="2" t="s">
        <v>246</v>
      </c>
      <c r="M52" s="1" t="s">
        <v>234</v>
      </c>
      <c r="N52" s="1">
        <v>39</v>
      </c>
      <c r="O52" s="1">
        <v>36</v>
      </c>
      <c r="P52" s="9">
        <f t="shared" si="5"/>
        <v>1404</v>
      </c>
      <c r="Q52" s="9">
        <v>0</v>
      </c>
      <c r="R52" s="9">
        <f t="shared" si="6"/>
        <v>1404</v>
      </c>
      <c r="S52" s="9">
        <f t="shared" si="7"/>
        <v>14</v>
      </c>
      <c r="T52" s="17">
        <f t="shared" si="8"/>
        <v>1390</v>
      </c>
    </row>
    <row r="53" spans="1:20" x14ac:dyDescent="0.25">
      <c r="A53" s="1">
        <f t="shared" si="4"/>
        <v>52</v>
      </c>
      <c r="B53" s="1">
        <v>328</v>
      </c>
      <c r="C53" s="1" t="s">
        <v>20</v>
      </c>
      <c r="D53" s="2" t="s">
        <v>297</v>
      </c>
      <c r="E53" s="23" t="s">
        <v>298</v>
      </c>
      <c r="F53" s="4" t="s">
        <v>299</v>
      </c>
      <c r="G53" s="4" t="s">
        <v>45</v>
      </c>
      <c r="H53" s="4" t="s">
        <v>300</v>
      </c>
      <c r="I53" s="25" t="s">
        <v>301</v>
      </c>
      <c r="J53" s="1" t="s">
        <v>27</v>
      </c>
      <c r="K53" s="4">
        <v>9382285218</v>
      </c>
      <c r="L53" s="2" t="s">
        <v>246</v>
      </c>
      <c r="M53" s="1" t="s">
        <v>234</v>
      </c>
      <c r="N53" s="1">
        <v>110</v>
      </c>
      <c r="O53" s="1">
        <v>36</v>
      </c>
      <c r="P53" s="9">
        <f t="shared" si="5"/>
        <v>3960</v>
      </c>
      <c r="Q53" s="9">
        <v>1000</v>
      </c>
      <c r="R53" s="9">
        <f t="shared" si="6"/>
        <v>2960</v>
      </c>
      <c r="S53" s="9">
        <f t="shared" si="7"/>
        <v>30</v>
      </c>
      <c r="T53" s="17">
        <f t="shared" si="8"/>
        <v>2930</v>
      </c>
    </row>
    <row r="54" spans="1:20" x14ac:dyDescent="0.25">
      <c r="A54" s="1">
        <f t="shared" si="4"/>
        <v>53</v>
      </c>
      <c r="B54" s="1">
        <v>330</v>
      </c>
      <c r="C54" s="1" t="s">
        <v>20</v>
      </c>
      <c r="D54" s="2" t="s">
        <v>302</v>
      </c>
      <c r="E54" s="23" t="s">
        <v>303</v>
      </c>
      <c r="F54" s="4" t="s">
        <v>289</v>
      </c>
      <c r="G54" s="4" t="s">
        <v>51</v>
      </c>
      <c r="H54" s="4" t="s">
        <v>304</v>
      </c>
      <c r="I54" s="25" t="s">
        <v>305</v>
      </c>
      <c r="J54" s="1" t="s">
        <v>27</v>
      </c>
      <c r="K54" s="4">
        <v>7699056140</v>
      </c>
      <c r="L54" s="2" t="s">
        <v>246</v>
      </c>
      <c r="M54" s="1" t="s">
        <v>234</v>
      </c>
      <c r="N54" s="1">
        <v>44</v>
      </c>
      <c r="O54" s="1">
        <v>36</v>
      </c>
      <c r="P54" s="9">
        <f t="shared" si="5"/>
        <v>1584</v>
      </c>
      <c r="Q54" s="9">
        <v>0</v>
      </c>
      <c r="R54" s="9">
        <f t="shared" si="6"/>
        <v>1584</v>
      </c>
      <c r="S54" s="9">
        <f t="shared" si="7"/>
        <v>16</v>
      </c>
      <c r="T54" s="17">
        <f t="shared" si="8"/>
        <v>1568</v>
      </c>
    </row>
    <row r="55" spans="1:20" x14ac:dyDescent="0.25">
      <c r="A55" s="1">
        <f t="shared" si="4"/>
        <v>54</v>
      </c>
      <c r="B55" s="1">
        <v>337</v>
      </c>
      <c r="C55" s="1" t="s">
        <v>20</v>
      </c>
      <c r="D55" s="2" t="s">
        <v>306</v>
      </c>
      <c r="E55" s="23" t="s">
        <v>307</v>
      </c>
      <c r="F55" s="4" t="s">
        <v>308</v>
      </c>
      <c r="G55" s="4" t="s">
        <v>24</v>
      </c>
      <c r="H55" s="4" t="s">
        <v>309</v>
      </c>
      <c r="I55" s="25" t="s">
        <v>310</v>
      </c>
      <c r="J55" s="1" t="s">
        <v>27</v>
      </c>
      <c r="K55" s="4">
        <v>9002028127</v>
      </c>
      <c r="L55" s="2" t="s">
        <v>246</v>
      </c>
      <c r="M55" s="1" t="s">
        <v>234</v>
      </c>
      <c r="N55" s="1">
        <v>54</v>
      </c>
      <c r="O55" s="1">
        <v>36</v>
      </c>
      <c r="P55" s="9">
        <f t="shared" si="5"/>
        <v>1944</v>
      </c>
      <c r="Q55" s="9">
        <v>500</v>
      </c>
      <c r="R55" s="9">
        <f t="shared" si="6"/>
        <v>1444</v>
      </c>
      <c r="S55" s="9">
        <f t="shared" si="7"/>
        <v>14</v>
      </c>
      <c r="T55" s="17">
        <f t="shared" si="8"/>
        <v>1430</v>
      </c>
    </row>
    <row r="56" spans="1:20" x14ac:dyDescent="0.25">
      <c r="A56" s="1">
        <f t="shared" si="4"/>
        <v>55</v>
      </c>
      <c r="B56" s="1">
        <v>340</v>
      </c>
      <c r="C56" s="1" t="s">
        <v>20</v>
      </c>
      <c r="D56" s="2" t="s">
        <v>311</v>
      </c>
      <c r="E56" s="23" t="s">
        <v>312</v>
      </c>
      <c r="F56" s="4" t="s">
        <v>313</v>
      </c>
      <c r="G56" s="4" t="s">
        <v>314</v>
      </c>
      <c r="H56" s="4" t="s">
        <v>315</v>
      </c>
      <c r="I56" s="25" t="s">
        <v>316</v>
      </c>
      <c r="J56" s="1" t="s">
        <v>27</v>
      </c>
      <c r="K56" s="4">
        <v>9239253780</v>
      </c>
      <c r="L56" s="2" t="s">
        <v>246</v>
      </c>
      <c r="M56" s="1" t="s">
        <v>234</v>
      </c>
      <c r="N56" s="1">
        <v>219</v>
      </c>
      <c r="O56" s="1">
        <v>36</v>
      </c>
      <c r="P56" s="9">
        <f t="shared" si="5"/>
        <v>7884</v>
      </c>
      <c r="Q56" s="9">
        <v>1500</v>
      </c>
      <c r="R56" s="9">
        <f t="shared" si="6"/>
        <v>6384</v>
      </c>
      <c r="S56" s="9">
        <f t="shared" si="7"/>
        <v>64</v>
      </c>
      <c r="T56" s="17">
        <f t="shared" si="8"/>
        <v>6320</v>
      </c>
    </row>
    <row r="57" spans="1:20" x14ac:dyDescent="0.25">
      <c r="A57" s="1">
        <f t="shared" si="4"/>
        <v>56</v>
      </c>
      <c r="B57" s="1">
        <v>389</v>
      </c>
      <c r="C57" s="1" t="s">
        <v>20</v>
      </c>
      <c r="D57" s="2" t="s">
        <v>317</v>
      </c>
      <c r="E57" s="23" t="s">
        <v>318</v>
      </c>
      <c r="F57" s="4" t="s">
        <v>319</v>
      </c>
      <c r="G57" s="4" t="s">
        <v>45</v>
      </c>
      <c r="H57" s="4" t="s">
        <v>320</v>
      </c>
      <c r="I57" s="25" t="s">
        <v>321</v>
      </c>
      <c r="J57" s="1" t="s">
        <v>27</v>
      </c>
      <c r="K57" s="4">
        <v>9641196030</v>
      </c>
      <c r="L57" s="2" t="s">
        <v>246</v>
      </c>
      <c r="M57" s="1" t="s">
        <v>234</v>
      </c>
      <c r="N57" s="1">
        <v>55</v>
      </c>
      <c r="O57" s="1">
        <v>36</v>
      </c>
      <c r="P57" s="9">
        <f t="shared" ref="P57:P79" si="9">N57*O57</f>
        <v>1980</v>
      </c>
      <c r="Q57" s="9">
        <v>500</v>
      </c>
      <c r="R57" s="9">
        <f t="shared" si="6"/>
        <v>1480</v>
      </c>
      <c r="S57" s="9">
        <f t="shared" si="7"/>
        <v>15</v>
      </c>
      <c r="T57" s="17">
        <f t="shared" si="8"/>
        <v>1465</v>
      </c>
    </row>
    <row r="58" spans="1:20" x14ac:dyDescent="0.25">
      <c r="A58" s="1">
        <f t="shared" si="4"/>
        <v>57</v>
      </c>
      <c r="B58" s="1">
        <v>402</v>
      </c>
      <c r="C58" s="1" t="s">
        <v>20</v>
      </c>
      <c r="D58" s="2" t="s">
        <v>322</v>
      </c>
      <c r="E58" s="23" t="s">
        <v>323</v>
      </c>
      <c r="F58" s="4" t="s">
        <v>324</v>
      </c>
      <c r="G58" s="4" t="s">
        <v>33</v>
      </c>
      <c r="H58" s="4" t="s">
        <v>325</v>
      </c>
      <c r="I58" s="25" t="s">
        <v>326</v>
      </c>
      <c r="J58" s="1" t="s">
        <v>27</v>
      </c>
      <c r="K58" s="4">
        <v>8768483029</v>
      </c>
      <c r="L58" s="2" t="s">
        <v>327</v>
      </c>
      <c r="M58" s="1" t="s">
        <v>328</v>
      </c>
      <c r="N58" s="1">
        <v>114</v>
      </c>
      <c r="O58" s="1">
        <v>36</v>
      </c>
      <c r="P58" s="9">
        <f t="shared" si="9"/>
        <v>4104</v>
      </c>
      <c r="Q58" s="9">
        <v>2000</v>
      </c>
      <c r="R58" s="9">
        <f t="shared" ref="R58:R79" si="10">P58-Q58</f>
        <v>2104</v>
      </c>
      <c r="S58" s="9">
        <f t="shared" ref="S58:S79" si="11">ROUND(R58*1%,0)</f>
        <v>21</v>
      </c>
      <c r="T58" s="17">
        <f t="shared" ref="T58:T79" si="12">R58-S58</f>
        <v>2083</v>
      </c>
    </row>
    <row r="59" spans="1:20" x14ac:dyDescent="0.25">
      <c r="A59" s="1">
        <f t="shared" si="4"/>
        <v>58</v>
      </c>
      <c r="B59" s="1">
        <v>403</v>
      </c>
      <c r="C59" s="1" t="s">
        <v>20</v>
      </c>
      <c r="D59" s="2" t="s">
        <v>329</v>
      </c>
      <c r="E59" s="23" t="s">
        <v>330</v>
      </c>
      <c r="F59" s="4" t="s">
        <v>331</v>
      </c>
      <c r="G59" s="4" t="s">
        <v>178</v>
      </c>
      <c r="H59" s="4" t="s">
        <v>332</v>
      </c>
      <c r="I59" s="25" t="s">
        <v>333</v>
      </c>
      <c r="J59" s="1" t="s">
        <v>27</v>
      </c>
      <c r="K59" s="4">
        <v>9242262259</v>
      </c>
      <c r="L59" s="2" t="s">
        <v>327</v>
      </c>
      <c r="M59" s="1" t="s">
        <v>328</v>
      </c>
      <c r="N59" s="1">
        <v>125</v>
      </c>
      <c r="O59" s="1">
        <v>36</v>
      </c>
      <c r="P59" s="9">
        <f t="shared" si="9"/>
        <v>4500</v>
      </c>
      <c r="Q59" s="9">
        <v>1500</v>
      </c>
      <c r="R59" s="9">
        <f t="shared" si="10"/>
        <v>3000</v>
      </c>
      <c r="S59" s="9">
        <f t="shared" si="11"/>
        <v>30</v>
      </c>
      <c r="T59" s="17">
        <f t="shared" si="12"/>
        <v>2970</v>
      </c>
    </row>
    <row r="60" spans="1:20" x14ac:dyDescent="0.25">
      <c r="A60" s="1">
        <f t="shared" si="4"/>
        <v>59</v>
      </c>
      <c r="B60" s="1">
        <v>406</v>
      </c>
      <c r="C60" s="1" t="s">
        <v>20</v>
      </c>
      <c r="D60" s="2" t="s">
        <v>334</v>
      </c>
      <c r="E60" s="23" t="s">
        <v>335</v>
      </c>
      <c r="F60" s="4" t="s">
        <v>336</v>
      </c>
      <c r="G60" s="4" t="s">
        <v>337</v>
      </c>
      <c r="H60" s="4" t="s">
        <v>338</v>
      </c>
      <c r="I60" s="25" t="s">
        <v>339</v>
      </c>
      <c r="J60" s="1" t="s">
        <v>27</v>
      </c>
      <c r="K60" s="4">
        <v>8670474384</v>
      </c>
      <c r="L60" s="2" t="s">
        <v>327</v>
      </c>
      <c r="M60" s="1" t="s">
        <v>328</v>
      </c>
      <c r="N60" s="1">
        <v>328</v>
      </c>
      <c r="O60" s="1">
        <v>36</v>
      </c>
      <c r="P60" s="9">
        <f t="shared" si="9"/>
        <v>11808</v>
      </c>
      <c r="Q60" s="9">
        <v>5000</v>
      </c>
      <c r="R60" s="9">
        <f t="shared" si="10"/>
        <v>6808</v>
      </c>
      <c r="S60" s="9">
        <f t="shared" si="11"/>
        <v>68</v>
      </c>
      <c r="T60" s="17">
        <f t="shared" si="12"/>
        <v>6740</v>
      </c>
    </row>
    <row r="61" spans="1:20" x14ac:dyDescent="0.25">
      <c r="A61" s="1">
        <f t="shared" si="4"/>
        <v>60</v>
      </c>
      <c r="B61" s="1">
        <v>411</v>
      </c>
      <c r="C61" s="1" t="s">
        <v>20</v>
      </c>
      <c r="D61" s="2" t="s">
        <v>340</v>
      </c>
      <c r="E61" s="23" t="s">
        <v>341</v>
      </c>
      <c r="F61" s="4" t="s">
        <v>342</v>
      </c>
      <c r="G61" s="4" t="s">
        <v>24</v>
      </c>
      <c r="H61" s="4" t="s">
        <v>343</v>
      </c>
      <c r="I61" s="25" t="s">
        <v>344</v>
      </c>
      <c r="J61" s="1" t="s">
        <v>27</v>
      </c>
      <c r="K61" s="4">
        <v>9093591391</v>
      </c>
      <c r="L61" s="2" t="s">
        <v>345</v>
      </c>
      <c r="M61" s="1" t="s">
        <v>328</v>
      </c>
      <c r="N61" s="1">
        <v>283</v>
      </c>
      <c r="O61" s="1">
        <v>36</v>
      </c>
      <c r="P61" s="9">
        <f t="shared" si="9"/>
        <v>10188</v>
      </c>
      <c r="Q61" s="9">
        <v>1750</v>
      </c>
      <c r="R61" s="9">
        <f t="shared" si="10"/>
        <v>8438</v>
      </c>
      <c r="S61" s="9">
        <f t="shared" si="11"/>
        <v>84</v>
      </c>
      <c r="T61" s="17">
        <f t="shared" si="12"/>
        <v>8354</v>
      </c>
    </row>
    <row r="62" spans="1:20" x14ac:dyDescent="0.25">
      <c r="A62" s="1">
        <f t="shared" si="4"/>
        <v>61</v>
      </c>
      <c r="B62" s="1">
        <v>412</v>
      </c>
      <c r="C62" s="1" t="s">
        <v>20</v>
      </c>
      <c r="D62" s="2" t="s">
        <v>346</v>
      </c>
      <c r="E62" s="23" t="s">
        <v>347</v>
      </c>
      <c r="F62" s="4" t="s">
        <v>348</v>
      </c>
      <c r="G62" s="4" t="s">
        <v>51</v>
      </c>
      <c r="H62" s="4" t="s">
        <v>349</v>
      </c>
      <c r="I62" s="25" t="s">
        <v>350</v>
      </c>
      <c r="J62" s="1" t="s">
        <v>27</v>
      </c>
      <c r="K62" s="4">
        <v>7602916502</v>
      </c>
      <c r="L62" s="2" t="s">
        <v>345</v>
      </c>
      <c r="M62" s="1" t="s">
        <v>328</v>
      </c>
      <c r="N62" s="1">
        <v>164</v>
      </c>
      <c r="O62" s="1">
        <v>36</v>
      </c>
      <c r="P62" s="9">
        <f t="shared" si="9"/>
        <v>5904</v>
      </c>
      <c r="Q62" s="9">
        <v>3000</v>
      </c>
      <c r="R62" s="9">
        <f t="shared" si="10"/>
        <v>2904</v>
      </c>
      <c r="S62" s="9">
        <f t="shared" si="11"/>
        <v>29</v>
      </c>
      <c r="T62" s="17">
        <f t="shared" si="12"/>
        <v>2875</v>
      </c>
    </row>
    <row r="63" spans="1:20" x14ac:dyDescent="0.25">
      <c r="A63" s="1">
        <f t="shared" si="4"/>
        <v>62</v>
      </c>
      <c r="B63" s="1">
        <v>415</v>
      </c>
      <c r="C63" s="1" t="s">
        <v>20</v>
      </c>
      <c r="D63" s="2" t="s">
        <v>351</v>
      </c>
      <c r="E63" s="23" t="s">
        <v>352</v>
      </c>
      <c r="F63" s="4" t="s">
        <v>353</v>
      </c>
      <c r="G63" s="4" t="s">
        <v>51</v>
      </c>
      <c r="H63" s="4" t="s">
        <v>354</v>
      </c>
      <c r="I63" s="25" t="s">
        <v>355</v>
      </c>
      <c r="J63" s="1" t="s">
        <v>27</v>
      </c>
      <c r="K63" s="4">
        <v>9832759986</v>
      </c>
      <c r="L63" s="2" t="s">
        <v>345</v>
      </c>
      <c r="M63" s="1" t="s">
        <v>328</v>
      </c>
      <c r="N63" s="1">
        <v>143</v>
      </c>
      <c r="O63" s="1">
        <v>36</v>
      </c>
      <c r="P63" s="9">
        <f t="shared" si="9"/>
        <v>5148</v>
      </c>
      <c r="Q63" s="9">
        <v>1500</v>
      </c>
      <c r="R63" s="9">
        <f t="shared" si="10"/>
        <v>3648</v>
      </c>
      <c r="S63" s="9">
        <f t="shared" si="11"/>
        <v>36</v>
      </c>
      <c r="T63" s="17">
        <f t="shared" si="12"/>
        <v>3612</v>
      </c>
    </row>
    <row r="64" spans="1:20" x14ac:dyDescent="0.25">
      <c r="A64" s="1">
        <f t="shared" si="4"/>
        <v>63</v>
      </c>
      <c r="B64" s="1">
        <v>433</v>
      </c>
      <c r="C64" s="1" t="s">
        <v>20</v>
      </c>
      <c r="D64" s="2" t="s">
        <v>356</v>
      </c>
      <c r="E64" s="23" t="s">
        <v>357</v>
      </c>
      <c r="F64" s="4" t="s">
        <v>358</v>
      </c>
      <c r="G64" s="4" t="s">
        <v>24</v>
      </c>
      <c r="H64" s="4" t="s">
        <v>359</v>
      </c>
      <c r="I64" s="25" t="s">
        <v>360</v>
      </c>
      <c r="J64" s="1" t="s">
        <v>27</v>
      </c>
      <c r="K64" s="4">
        <v>9775684547</v>
      </c>
      <c r="L64" s="2" t="s">
        <v>361</v>
      </c>
      <c r="M64" s="1" t="s">
        <v>328</v>
      </c>
      <c r="N64" s="1">
        <v>142</v>
      </c>
      <c r="O64" s="1">
        <v>36</v>
      </c>
      <c r="P64" s="9">
        <f t="shared" si="9"/>
        <v>5112</v>
      </c>
      <c r="Q64" s="9">
        <v>2500</v>
      </c>
      <c r="R64" s="9">
        <f t="shared" si="10"/>
        <v>2612</v>
      </c>
      <c r="S64" s="9">
        <f t="shared" si="11"/>
        <v>26</v>
      </c>
      <c r="T64" s="17">
        <f t="shared" si="12"/>
        <v>2586</v>
      </c>
    </row>
    <row r="65" spans="1:20" x14ac:dyDescent="0.25">
      <c r="A65" s="1">
        <f t="shared" si="4"/>
        <v>64</v>
      </c>
      <c r="B65" s="1">
        <v>435</v>
      </c>
      <c r="C65" s="1" t="s">
        <v>20</v>
      </c>
      <c r="D65" s="2" t="s">
        <v>362</v>
      </c>
      <c r="E65" s="23" t="s">
        <v>363</v>
      </c>
      <c r="F65" s="4" t="s">
        <v>364</v>
      </c>
      <c r="G65" s="4" t="s">
        <v>51</v>
      </c>
      <c r="H65" s="4" t="s">
        <v>365</v>
      </c>
      <c r="I65" s="25" t="s">
        <v>366</v>
      </c>
      <c r="J65" s="1" t="s">
        <v>27</v>
      </c>
      <c r="K65" s="4">
        <v>6296778138</v>
      </c>
      <c r="L65" s="2" t="s">
        <v>361</v>
      </c>
      <c r="M65" s="1" t="s">
        <v>328</v>
      </c>
      <c r="N65" s="1">
        <v>198</v>
      </c>
      <c r="O65" s="1">
        <v>36</v>
      </c>
      <c r="P65" s="9">
        <f t="shared" si="9"/>
        <v>7128</v>
      </c>
      <c r="Q65" s="9">
        <v>2500</v>
      </c>
      <c r="R65" s="9">
        <f t="shared" si="10"/>
        <v>4628</v>
      </c>
      <c r="S65" s="9">
        <f t="shared" si="11"/>
        <v>46</v>
      </c>
      <c r="T65" s="17">
        <f t="shared" si="12"/>
        <v>4582</v>
      </c>
    </row>
    <row r="66" spans="1:20" x14ac:dyDescent="0.25">
      <c r="A66" s="1">
        <f t="shared" si="4"/>
        <v>65</v>
      </c>
      <c r="B66" s="1">
        <v>441</v>
      </c>
      <c r="C66" s="1" t="s">
        <v>20</v>
      </c>
      <c r="D66" s="2" t="s">
        <v>367</v>
      </c>
      <c r="E66" s="23" t="s">
        <v>368</v>
      </c>
      <c r="F66" s="4" t="s">
        <v>369</v>
      </c>
      <c r="G66" s="4" t="s">
        <v>58</v>
      </c>
      <c r="H66" s="4" t="s">
        <v>370</v>
      </c>
      <c r="I66" s="25" t="s">
        <v>371</v>
      </c>
      <c r="J66" s="1" t="s">
        <v>27</v>
      </c>
      <c r="K66" s="4">
        <v>7029005657</v>
      </c>
      <c r="L66" s="2" t="s">
        <v>372</v>
      </c>
      <c r="M66" s="1" t="s">
        <v>328</v>
      </c>
      <c r="N66" s="1">
        <v>68</v>
      </c>
      <c r="O66" s="1">
        <v>36</v>
      </c>
      <c r="P66" s="9">
        <f t="shared" si="9"/>
        <v>2448</v>
      </c>
      <c r="Q66" s="9">
        <v>500</v>
      </c>
      <c r="R66" s="9">
        <f t="shared" si="10"/>
        <v>1948</v>
      </c>
      <c r="S66" s="9">
        <f t="shared" si="11"/>
        <v>19</v>
      </c>
      <c r="T66" s="17">
        <f t="shared" si="12"/>
        <v>1929</v>
      </c>
    </row>
    <row r="67" spans="1:20" x14ac:dyDescent="0.25">
      <c r="A67" s="1">
        <f t="shared" si="4"/>
        <v>66</v>
      </c>
      <c r="B67" s="1">
        <v>442</v>
      </c>
      <c r="C67" s="1" t="s">
        <v>20</v>
      </c>
      <c r="D67" s="2" t="s">
        <v>373</v>
      </c>
      <c r="E67" s="23" t="s">
        <v>374</v>
      </c>
      <c r="F67" s="4" t="s">
        <v>375</v>
      </c>
      <c r="G67" s="4" t="s">
        <v>376</v>
      </c>
      <c r="H67" s="4" t="s">
        <v>377</v>
      </c>
      <c r="I67" s="25" t="s">
        <v>378</v>
      </c>
      <c r="J67" s="1" t="s">
        <v>27</v>
      </c>
      <c r="K67" s="4">
        <v>6296374096</v>
      </c>
      <c r="L67" s="2" t="s">
        <v>372</v>
      </c>
      <c r="M67" s="1" t="s">
        <v>328</v>
      </c>
      <c r="N67" s="1">
        <v>73</v>
      </c>
      <c r="O67" s="1">
        <v>36</v>
      </c>
      <c r="P67" s="9">
        <f t="shared" si="9"/>
        <v>2628</v>
      </c>
      <c r="Q67" s="9">
        <v>500</v>
      </c>
      <c r="R67" s="9">
        <f t="shared" si="10"/>
        <v>2128</v>
      </c>
      <c r="S67" s="9">
        <f t="shared" si="11"/>
        <v>21</v>
      </c>
      <c r="T67" s="17">
        <f t="shared" si="12"/>
        <v>2107</v>
      </c>
    </row>
    <row r="68" spans="1:20" x14ac:dyDescent="0.25">
      <c r="A68" s="1">
        <f t="shared" ref="A68:A79" si="13">A67+1</f>
        <v>67</v>
      </c>
      <c r="B68" s="1">
        <v>443</v>
      </c>
      <c r="C68" s="1" t="s">
        <v>20</v>
      </c>
      <c r="D68" s="2" t="s">
        <v>379</v>
      </c>
      <c r="E68" s="23" t="s">
        <v>380</v>
      </c>
      <c r="F68" s="4" t="s">
        <v>381</v>
      </c>
      <c r="G68" s="4" t="s">
        <v>51</v>
      </c>
      <c r="H68" s="4" t="s">
        <v>382</v>
      </c>
      <c r="I68" s="25" t="s">
        <v>383</v>
      </c>
      <c r="J68" s="1" t="s">
        <v>27</v>
      </c>
      <c r="K68" s="4">
        <v>8515834765</v>
      </c>
      <c r="L68" s="2" t="s">
        <v>372</v>
      </c>
      <c r="M68" s="1" t="s">
        <v>328</v>
      </c>
      <c r="N68" s="1">
        <v>82</v>
      </c>
      <c r="O68" s="1">
        <v>36</v>
      </c>
      <c r="P68" s="9">
        <f t="shared" si="9"/>
        <v>2952</v>
      </c>
      <c r="Q68" s="9">
        <v>500</v>
      </c>
      <c r="R68" s="9">
        <f t="shared" si="10"/>
        <v>2452</v>
      </c>
      <c r="S68" s="9">
        <f t="shared" si="11"/>
        <v>25</v>
      </c>
      <c r="T68" s="17">
        <f t="shared" si="12"/>
        <v>2427</v>
      </c>
    </row>
    <row r="69" spans="1:20" x14ac:dyDescent="0.25">
      <c r="A69" s="1">
        <f t="shared" si="13"/>
        <v>68</v>
      </c>
      <c r="B69" s="1">
        <v>444</v>
      </c>
      <c r="C69" s="1" t="s">
        <v>20</v>
      </c>
      <c r="D69" s="2" t="s">
        <v>384</v>
      </c>
      <c r="E69" s="23" t="s">
        <v>385</v>
      </c>
      <c r="F69" s="4" t="s">
        <v>386</v>
      </c>
      <c r="G69" s="4" t="s">
        <v>51</v>
      </c>
      <c r="H69" s="4" t="s">
        <v>387</v>
      </c>
      <c r="I69" s="25" t="s">
        <v>388</v>
      </c>
      <c r="J69" s="1" t="s">
        <v>27</v>
      </c>
      <c r="K69" s="4">
        <v>9734829472</v>
      </c>
      <c r="L69" s="2" t="s">
        <v>372</v>
      </c>
      <c r="M69" s="1" t="s">
        <v>328</v>
      </c>
      <c r="N69" s="1">
        <v>86</v>
      </c>
      <c r="O69" s="1">
        <v>36</v>
      </c>
      <c r="P69" s="9">
        <f t="shared" si="9"/>
        <v>3096</v>
      </c>
      <c r="Q69" s="9">
        <v>500</v>
      </c>
      <c r="R69" s="9">
        <f t="shared" si="10"/>
        <v>2596</v>
      </c>
      <c r="S69" s="9">
        <f t="shared" si="11"/>
        <v>26</v>
      </c>
      <c r="T69" s="17">
        <f t="shared" si="12"/>
        <v>2570</v>
      </c>
    </row>
    <row r="70" spans="1:20" x14ac:dyDescent="0.25">
      <c r="A70" s="1">
        <f t="shared" si="13"/>
        <v>69</v>
      </c>
      <c r="B70" s="1">
        <v>445</v>
      </c>
      <c r="C70" s="1" t="s">
        <v>20</v>
      </c>
      <c r="D70" s="2" t="s">
        <v>389</v>
      </c>
      <c r="E70" s="23" t="s">
        <v>390</v>
      </c>
      <c r="F70" s="4" t="s">
        <v>391</v>
      </c>
      <c r="G70" s="4" t="s">
        <v>51</v>
      </c>
      <c r="H70" s="4" t="s">
        <v>392</v>
      </c>
      <c r="I70" s="25" t="s">
        <v>393</v>
      </c>
      <c r="J70" s="1" t="s">
        <v>27</v>
      </c>
      <c r="K70" s="4">
        <v>6296451278</v>
      </c>
      <c r="L70" s="2" t="s">
        <v>372</v>
      </c>
      <c r="M70" s="1" t="s">
        <v>328</v>
      </c>
      <c r="N70" s="1">
        <v>59</v>
      </c>
      <c r="O70" s="1">
        <v>36</v>
      </c>
      <c r="P70" s="9">
        <f t="shared" si="9"/>
        <v>2124</v>
      </c>
      <c r="Q70" s="9">
        <v>500</v>
      </c>
      <c r="R70" s="9">
        <f t="shared" si="10"/>
        <v>1624</v>
      </c>
      <c r="S70" s="9">
        <f t="shared" si="11"/>
        <v>16</v>
      </c>
      <c r="T70" s="17">
        <f t="shared" si="12"/>
        <v>1608</v>
      </c>
    </row>
    <row r="71" spans="1:20" x14ac:dyDescent="0.25">
      <c r="A71" s="1">
        <f t="shared" si="13"/>
        <v>70</v>
      </c>
      <c r="B71" s="1">
        <v>446</v>
      </c>
      <c r="C71" s="1" t="s">
        <v>20</v>
      </c>
      <c r="D71" s="2" t="s">
        <v>394</v>
      </c>
      <c r="E71" s="23" t="s">
        <v>395</v>
      </c>
      <c r="F71" s="4" t="s">
        <v>396</v>
      </c>
      <c r="G71" s="4" t="s">
        <v>178</v>
      </c>
      <c r="H71" s="4" t="s">
        <v>397</v>
      </c>
      <c r="I71" s="25" t="s">
        <v>398</v>
      </c>
      <c r="J71" s="1" t="s">
        <v>27</v>
      </c>
      <c r="K71" s="4">
        <v>9775020871</v>
      </c>
      <c r="L71" s="2" t="s">
        <v>372</v>
      </c>
      <c r="M71" s="1" t="s">
        <v>328</v>
      </c>
      <c r="N71" s="1">
        <v>49</v>
      </c>
      <c r="O71" s="1">
        <v>36</v>
      </c>
      <c r="P71" s="9">
        <f t="shared" si="9"/>
        <v>1764</v>
      </c>
      <c r="Q71" s="9">
        <v>1500</v>
      </c>
      <c r="R71" s="9">
        <f t="shared" si="10"/>
        <v>264</v>
      </c>
      <c r="S71" s="9">
        <f t="shared" si="11"/>
        <v>3</v>
      </c>
      <c r="T71" s="17">
        <f t="shared" si="12"/>
        <v>261</v>
      </c>
    </row>
    <row r="72" spans="1:20" x14ac:dyDescent="0.25">
      <c r="A72" s="1">
        <f t="shared" si="13"/>
        <v>71</v>
      </c>
      <c r="B72" s="1">
        <v>490</v>
      </c>
      <c r="C72" s="1" t="s">
        <v>20</v>
      </c>
      <c r="D72" s="2" t="s">
        <v>399</v>
      </c>
      <c r="E72" s="23" t="s">
        <v>400</v>
      </c>
      <c r="F72" s="4" t="s">
        <v>401</v>
      </c>
      <c r="G72" s="4" t="s">
        <v>51</v>
      </c>
      <c r="H72" s="4" t="s">
        <v>402</v>
      </c>
      <c r="I72" s="25" t="s">
        <v>403</v>
      </c>
      <c r="J72" s="1" t="s">
        <v>27</v>
      </c>
      <c r="K72" s="4">
        <v>9547514226</v>
      </c>
      <c r="L72" s="2" t="s">
        <v>372</v>
      </c>
      <c r="M72" s="1" t="s">
        <v>328</v>
      </c>
      <c r="N72" s="1">
        <v>45</v>
      </c>
      <c r="O72" s="1">
        <v>36</v>
      </c>
      <c r="P72" s="9">
        <f t="shared" si="9"/>
        <v>1620</v>
      </c>
      <c r="Q72" s="9">
        <v>0</v>
      </c>
      <c r="R72" s="9">
        <f t="shared" si="10"/>
        <v>1620</v>
      </c>
      <c r="S72" s="9">
        <f t="shared" si="11"/>
        <v>16</v>
      </c>
      <c r="T72" s="17">
        <f t="shared" si="12"/>
        <v>1604</v>
      </c>
    </row>
    <row r="73" spans="1:20" x14ac:dyDescent="0.25">
      <c r="A73" s="1">
        <f t="shared" si="13"/>
        <v>72</v>
      </c>
      <c r="B73" s="1">
        <v>500</v>
      </c>
      <c r="C73" s="1" t="s">
        <v>20</v>
      </c>
      <c r="D73" s="2" t="s">
        <v>404</v>
      </c>
      <c r="E73" s="23" t="s">
        <v>405</v>
      </c>
      <c r="F73" s="4" t="s">
        <v>406</v>
      </c>
      <c r="G73" s="4" t="s">
        <v>51</v>
      </c>
      <c r="H73" s="4" t="s">
        <v>407</v>
      </c>
      <c r="I73" s="25" t="s">
        <v>408</v>
      </c>
      <c r="J73" s="1" t="s">
        <v>27</v>
      </c>
      <c r="K73" s="4">
        <v>8250790779</v>
      </c>
      <c r="L73" s="2" t="s">
        <v>409</v>
      </c>
      <c r="M73" s="1" t="s">
        <v>410</v>
      </c>
      <c r="N73" s="1">
        <v>320</v>
      </c>
      <c r="O73" s="1">
        <v>36</v>
      </c>
      <c r="P73" s="9">
        <f t="shared" si="9"/>
        <v>11520</v>
      </c>
      <c r="Q73" s="9">
        <v>1500</v>
      </c>
      <c r="R73" s="9">
        <f t="shared" si="10"/>
        <v>10020</v>
      </c>
      <c r="S73" s="9">
        <f t="shared" si="11"/>
        <v>100</v>
      </c>
      <c r="T73" s="17">
        <f t="shared" si="12"/>
        <v>9920</v>
      </c>
    </row>
    <row r="74" spans="1:20" x14ac:dyDescent="0.25">
      <c r="A74" s="1">
        <f t="shared" si="13"/>
        <v>73</v>
      </c>
      <c r="B74" s="1">
        <v>501</v>
      </c>
      <c r="C74" s="1" t="s">
        <v>20</v>
      </c>
      <c r="D74" s="2" t="s">
        <v>411</v>
      </c>
      <c r="E74" s="23" t="s">
        <v>412</v>
      </c>
      <c r="F74" s="4" t="s">
        <v>406</v>
      </c>
      <c r="G74" s="4" t="s">
        <v>51</v>
      </c>
      <c r="H74" s="4" t="s">
        <v>413</v>
      </c>
      <c r="I74" s="25" t="s">
        <v>414</v>
      </c>
      <c r="J74" s="1" t="s">
        <v>27</v>
      </c>
      <c r="K74" s="4">
        <v>8345811318</v>
      </c>
      <c r="L74" s="2" t="s">
        <v>409</v>
      </c>
      <c r="M74" s="1" t="s">
        <v>410</v>
      </c>
      <c r="N74" s="1">
        <v>168</v>
      </c>
      <c r="O74" s="1">
        <v>36</v>
      </c>
      <c r="P74" s="9">
        <f t="shared" si="9"/>
        <v>6048</v>
      </c>
      <c r="Q74" s="9">
        <v>1200</v>
      </c>
      <c r="R74" s="9">
        <f t="shared" si="10"/>
        <v>4848</v>
      </c>
      <c r="S74" s="9">
        <f t="shared" si="11"/>
        <v>48</v>
      </c>
      <c r="T74" s="17">
        <f t="shared" si="12"/>
        <v>4800</v>
      </c>
    </row>
    <row r="75" spans="1:20" x14ac:dyDescent="0.25">
      <c r="A75" s="1">
        <f t="shared" si="13"/>
        <v>74</v>
      </c>
      <c r="B75" s="1">
        <v>509</v>
      </c>
      <c r="C75" s="1" t="s">
        <v>20</v>
      </c>
      <c r="D75" s="2" t="s">
        <v>415</v>
      </c>
      <c r="E75" s="23" t="s">
        <v>416</v>
      </c>
      <c r="F75" s="4" t="s">
        <v>417</v>
      </c>
      <c r="G75" s="4" t="s">
        <v>265</v>
      </c>
      <c r="H75" s="4" t="s">
        <v>418</v>
      </c>
      <c r="I75" s="25" t="s">
        <v>419</v>
      </c>
      <c r="J75" s="1" t="s">
        <v>27</v>
      </c>
      <c r="K75" s="4">
        <v>6295645638</v>
      </c>
      <c r="L75" s="2" t="s">
        <v>420</v>
      </c>
      <c r="M75" s="1" t="s">
        <v>410</v>
      </c>
      <c r="N75" s="1">
        <v>181</v>
      </c>
      <c r="O75" s="1">
        <v>36</v>
      </c>
      <c r="P75" s="9">
        <f t="shared" si="9"/>
        <v>6516</v>
      </c>
      <c r="Q75" s="9">
        <v>1000</v>
      </c>
      <c r="R75" s="9">
        <f t="shared" si="10"/>
        <v>5516</v>
      </c>
      <c r="S75" s="9">
        <f t="shared" si="11"/>
        <v>55</v>
      </c>
      <c r="T75" s="17">
        <f t="shared" si="12"/>
        <v>5461</v>
      </c>
    </row>
    <row r="76" spans="1:20" x14ac:dyDescent="0.25">
      <c r="A76" s="1">
        <f t="shared" si="13"/>
        <v>75</v>
      </c>
      <c r="B76" s="1">
        <v>510</v>
      </c>
      <c r="C76" s="1" t="s">
        <v>20</v>
      </c>
      <c r="D76" s="2" t="s">
        <v>421</v>
      </c>
      <c r="E76" s="23" t="s">
        <v>422</v>
      </c>
      <c r="F76" s="4" t="s">
        <v>423</v>
      </c>
      <c r="G76" s="4" t="s">
        <v>178</v>
      </c>
      <c r="H76" s="4" t="s">
        <v>424</v>
      </c>
      <c r="I76" s="25" t="s">
        <v>425</v>
      </c>
      <c r="J76" s="1" t="s">
        <v>27</v>
      </c>
      <c r="K76" s="4">
        <v>9851649898</v>
      </c>
      <c r="L76" s="2" t="s">
        <v>420</v>
      </c>
      <c r="M76" s="1" t="s">
        <v>410</v>
      </c>
      <c r="N76" s="1">
        <v>155</v>
      </c>
      <c r="O76" s="1">
        <v>36</v>
      </c>
      <c r="P76" s="9">
        <f t="shared" si="9"/>
        <v>5580</v>
      </c>
      <c r="Q76" s="9">
        <v>1000</v>
      </c>
      <c r="R76" s="9">
        <f t="shared" si="10"/>
        <v>4580</v>
      </c>
      <c r="S76" s="9">
        <f t="shared" si="11"/>
        <v>46</v>
      </c>
      <c r="T76" s="17">
        <f t="shared" si="12"/>
        <v>4534</v>
      </c>
    </row>
    <row r="77" spans="1:20" x14ac:dyDescent="0.25">
      <c r="A77" s="1">
        <f t="shared" si="13"/>
        <v>76</v>
      </c>
      <c r="B77" s="1">
        <v>512</v>
      </c>
      <c r="C77" s="1" t="s">
        <v>20</v>
      </c>
      <c r="D77" s="2" t="s">
        <v>426</v>
      </c>
      <c r="E77" s="3" t="s">
        <v>427</v>
      </c>
      <c r="F77" s="4" t="s">
        <v>428</v>
      </c>
      <c r="G77" s="4" t="s">
        <v>314</v>
      </c>
      <c r="H77" s="4" t="s">
        <v>429</v>
      </c>
      <c r="I77" s="25" t="s">
        <v>430</v>
      </c>
      <c r="J77" s="1" t="s">
        <v>27</v>
      </c>
      <c r="K77" s="4">
        <v>8101179753</v>
      </c>
      <c r="L77" s="2" t="s">
        <v>420</v>
      </c>
      <c r="M77" s="1" t="s">
        <v>410</v>
      </c>
      <c r="N77" s="1">
        <v>148</v>
      </c>
      <c r="O77" s="1">
        <v>36</v>
      </c>
      <c r="P77" s="9">
        <f t="shared" si="9"/>
        <v>5328</v>
      </c>
      <c r="Q77" s="9">
        <v>500</v>
      </c>
      <c r="R77" s="9">
        <f t="shared" si="10"/>
        <v>4828</v>
      </c>
      <c r="S77" s="9">
        <f t="shared" si="11"/>
        <v>48</v>
      </c>
      <c r="T77" s="17">
        <f t="shared" si="12"/>
        <v>4780</v>
      </c>
    </row>
    <row r="78" spans="1:20" x14ac:dyDescent="0.25">
      <c r="A78" s="1">
        <f t="shared" si="13"/>
        <v>77</v>
      </c>
      <c r="B78" s="1">
        <v>513</v>
      </c>
      <c r="C78" s="1" t="s">
        <v>20</v>
      </c>
      <c r="D78" s="2" t="s">
        <v>431</v>
      </c>
      <c r="E78" s="23" t="s">
        <v>432</v>
      </c>
      <c r="F78" s="4" t="s">
        <v>433</v>
      </c>
      <c r="G78" s="4" t="s">
        <v>51</v>
      </c>
      <c r="H78" s="4" t="s">
        <v>434</v>
      </c>
      <c r="I78" s="25" t="s">
        <v>435</v>
      </c>
      <c r="J78" s="1" t="s">
        <v>27</v>
      </c>
      <c r="K78" s="4">
        <v>7501661454</v>
      </c>
      <c r="L78" s="2" t="s">
        <v>420</v>
      </c>
      <c r="M78" s="1" t="s">
        <v>410</v>
      </c>
      <c r="N78" s="1">
        <v>286</v>
      </c>
      <c r="O78" s="1">
        <v>36</v>
      </c>
      <c r="P78" s="9">
        <f t="shared" si="9"/>
        <v>10296</v>
      </c>
      <c r="Q78" s="9">
        <v>1000</v>
      </c>
      <c r="R78" s="9">
        <f t="shared" si="10"/>
        <v>9296</v>
      </c>
      <c r="S78" s="9">
        <f t="shared" si="11"/>
        <v>93</v>
      </c>
      <c r="T78" s="17">
        <f t="shared" si="12"/>
        <v>9203</v>
      </c>
    </row>
    <row r="79" spans="1:20" x14ac:dyDescent="0.25">
      <c r="A79" s="1">
        <f t="shared" si="13"/>
        <v>78</v>
      </c>
      <c r="B79" s="1">
        <v>518</v>
      </c>
      <c r="C79" s="1" t="s">
        <v>20</v>
      </c>
      <c r="D79" s="2" t="s">
        <v>436</v>
      </c>
      <c r="E79" s="23" t="s">
        <v>437</v>
      </c>
      <c r="F79" s="4" t="s">
        <v>438</v>
      </c>
      <c r="G79" s="4" t="s">
        <v>51</v>
      </c>
      <c r="H79" s="4" t="s">
        <v>439</v>
      </c>
      <c r="I79" s="25" t="s">
        <v>440</v>
      </c>
      <c r="J79" s="1" t="s">
        <v>27</v>
      </c>
      <c r="K79" s="4">
        <v>6296992017</v>
      </c>
      <c r="L79" s="2" t="s">
        <v>420</v>
      </c>
      <c r="M79" s="1" t="s">
        <v>410</v>
      </c>
      <c r="N79" s="1">
        <v>27</v>
      </c>
      <c r="O79" s="1">
        <v>36</v>
      </c>
      <c r="P79" s="9">
        <f t="shared" si="9"/>
        <v>972</v>
      </c>
      <c r="Q79" s="9">
        <v>800</v>
      </c>
      <c r="R79" s="9">
        <f t="shared" si="10"/>
        <v>172</v>
      </c>
      <c r="S79" s="9">
        <f t="shared" si="11"/>
        <v>2</v>
      </c>
      <c r="T79" s="17">
        <f t="shared" si="12"/>
        <v>170</v>
      </c>
    </row>
    <row r="80" spans="1:20" x14ac:dyDescent="0.25">
      <c r="A80" s="104" t="s">
        <v>441</v>
      </c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9">
        <f>SUBTOTAL(9,N2:N79)</f>
        <v>12224</v>
      </c>
      <c r="O80" s="19"/>
      <c r="P80" s="19">
        <f>SUBTOTAL(9,P2:P79)</f>
        <v>440064</v>
      </c>
      <c r="Q80" s="19">
        <f>SUBTOTAL(9,Q2:Q79)</f>
        <v>101550</v>
      </c>
      <c r="R80" s="19">
        <f>SUBTOTAL(9,R2:R79)</f>
        <v>338514</v>
      </c>
      <c r="S80" s="19">
        <f>SUBTOTAL(9,S2:S79)</f>
        <v>3388</v>
      </c>
      <c r="T80" s="19">
        <f>SUBTOTAL(9,T2:T79)</f>
        <v>335126</v>
      </c>
    </row>
    <row r="83" spans="1:21" s="42" customFormat="1" ht="25" x14ac:dyDescent="0.25">
      <c r="A83" s="26" t="s">
        <v>0</v>
      </c>
      <c r="B83" s="43" t="s">
        <v>442</v>
      </c>
      <c r="C83" s="26" t="s">
        <v>2</v>
      </c>
      <c r="D83" s="43" t="s">
        <v>11</v>
      </c>
      <c r="E83" s="27" t="s">
        <v>4</v>
      </c>
      <c r="F83" s="26" t="s">
        <v>5</v>
      </c>
      <c r="G83" s="26" t="s">
        <v>6</v>
      </c>
      <c r="H83" s="26" t="s">
        <v>7</v>
      </c>
      <c r="I83" s="26" t="s">
        <v>8</v>
      </c>
      <c r="J83" s="26" t="s">
        <v>9</v>
      </c>
      <c r="K83" s="43" t="s">
        <v>443</v>
      </c>
      <c r="L83" s="43" t="s">
        <v>444</v>
      </c>
      <c r="M83" s="44"/>
      <c r="N83" s="45" t="s">
        <v>445</v>
      </c>
      <c r="O83" s="46" t="s">
        <v>14</v>
      </c>
      <c r="P83" s="45" t="s">
        <v>15</v>
      </c>
      <c r="Q83" s="26" t="s">
        <v>16</v>
      </c>
      <c r="R83" s="45" t="s">
        <v>17</v>
      </c>
      <c r="S83" s="45" t="s">
        <v>446</v>
      </c>
      <c r="T83" s="45" t="s">
        <v>19</v>
      </c>
      <c r="U83" s="14"/>
    </row>
    <row r="84" spans="1:21" x14ac:dyDescent="0.25">
      <c r="A84" s="1">
        <v>1</v>
      </c>
      <c r="B84" s="36">
        <v>642</v>
      </c>
      <c r="C84" s="1" t="s">
        <v>20</v>
      </c>
      <c r="D84" s="4" t="s">
        <v>345</v>
      </c>
      <c r="E84" s="47" t="s">
        <v>447</v>
      </c>
      <c r="F84" s="37" t="s">
        <v>353</v>
      </c>
      <c r="G84" s="37" t="s">
        <v>448</v>
      </c>
      <c r="H84" s="37" t="s">
        <v>449</v>
      </c>
      <c r="I84" s="48" t="s">
        <v>450</v>
      </c>
      <c r="J84" s="39" t="s">
        <v>27</v>
      </c>
      <c r="K84" s="37">
        <v>8101783045</v>
      </c>
      <c r="L84" s="36" t="s">
        <v>328</v>
      </c>
      <c r="M84" s="1"/>
      <c r="N84" s="9">
        <v>1367</v>
      </c>
      <c r="O84" s="1">
        <v>9</v>
      </c>
      <c r="P84" s="9">
        <v>12303</v>
      </c>
      <c r="Q84" s="10">
        <v>4300</v>
      </c>
      <c r="R84" s="10">
        <v>8003</v>
      </c>
      <c r="S84" s="10">
        <v>80.03</v>
      </c>
      <c r="T84" s="10">
        <v>7922.97</v>
      </c>
    </row>
    <row r="85" spans="1:21" x14ac:dyDescent="0.25">
      <c r="A85" s="1">
        <f>A84+1</f>
        <v>2</v>
      </c>
      <c r="B85" s="49">
        <v>624</v>
      </c>
      <c r="C85" s="1" t="s">
        <v>20</v>
      </c>
      <c r="D85" s="4" t="s">
        <v>196</v>
      </c>
      <c r="E85" s="50" t="s">
        <v>451</v>
      </c>
      <c r="F85" s="51" t="s">
        <v>452</v>
      </c>
      <c r="G85" s="51" t="s">
        <v>453</v>
      </c>
      <c r="H85" s="51" t="s">
        <v>454</v>
      </c>
      <c r="I85" s="50" t="s">
        <v>455</v>
      </c>
      <c r="J85" s="52" t="s">
        <v>27</v>
      </c>
      <c r="K85" s="49">
        <v>8582816075</v>
      </c>
      <c r="L85" s="49" t="s">
        <v>164</v>
      </c>
      <c r="M85" s="1"/>
      <c r="N85" s="9">
        <v>1303</v>
      </c>
      <c r="O85" s="1">
        <v>9</v>
      </c>
      <c r="P85" s="9">
        <v>11727</v>
      </c>
      <c r="Q85" s="10">
        <v>10500</v>
      </c>
      <c r="R85" s="10">
        <v>1227</v>
      </c>
      <c r="S85" s="10">
        <v>12.27</v>
      </c>
      <c r="T85" s="10">
        <v>1214.73</v>
      </c>
    </row>
    <row r="86" spans="1:21" x14ac:dyDescent="0.25">
      <c r="A86" s="1">
        <f t="shared" ref="A86:A87" si="14">A85+1</f>
        <v>3</v>
      </c>
      <c r="B86" s="49">
        <v>622</v>
      </c>
      <c r="C86" s="1" t="s">
        <v>20</v>
      </c>
      <c r="D86" s="4" t="s">
        <v>163</v>
      </c>
      <c r="E86" s="50" t="s">
        <v>456</v>
      </c>
      <c r="F86" s="51" t="s">
        <v>457</v>
      </c>
      <c r="G86" s="51" t="s">
        <v>458</v>
      </c>
      <c r="H86" s="51" t="s">
        <v>459</v>
      </c>
      <c r="I86" s="50" t="s">
        <v>460</v>
      </c>
      <c r="J86" s="52" t="s">
        <v>27</v>
      </c>
      <c r="K86" s="51">
        <v>9903128477</v>
      </c>
      <c r="L86" s="49" t="s">
        <v>164</v>
      </c>
      <c r="M86" s="1"/>
      <c r="N86" s="9">
        <v>1183</v>
      </c>
      <c r="O86" s="1">
        <v>9</v>
      </c>
      <c r="P86" s="9">
        <v>10647</v>
      </c>
      <c r="Q86" s="10">
        <v>10000</v>
      </c>
      <c r="R86" s="10">
        <v>647</v>
      </c>
      <c r="S86" s="10">
        <v>6.47</v>
      </c>
      <c r="T86" s="10">
        <v>640.53</v>
      </c>
    </row>
    <row r="87" spans="1:21" x14ac:dyDescent="0.25">
      <c r="A87" s="1">
        <f t="shared" si="14"/>
        <v>4</v>
      </c>
      <c r="B87" s="49">
        <v>621</v>
      </c>
      <c r="C87" s="1" t="s">
        <v>20</v>
      </c>
      <c r="D87" s="4" t="s">
        <v>202</v>
      </c>
      <c r="E87" s="50" t="s">
        <v>461</v>
      </c>
      <c r="F87" s="51" t="s">
        <v>462</v>
      </c>
      <c r="G87" s="51" t="s">
        <v>448</v>
      </c>
      <c r="H87" s="51" t="s">
        <v>463</v>
      </c>
      <c r="I87" s="50" t="s">
        <v>464</v>
      </c>
      <c r="J87" s="52" t="s">
        <v>27</v>
      </c>
      <c r="K87" s="51">
        <v>864185923</v>
      </c>
      <c r="L87" s="49" t="s">
        <v>164</v>
      </c>
      <c r="M87" s="1"/>
      <c r="N87" s="9">
        <v>1415</v>
      </c>
      <c r="O87" s="1">
        <v>9</v>
      </c>
      <c r="P87" s="9">
        <v>12735</v>
      </c>
      <c r="Q87" s="53">
        <v>0</v>
      </c>
      <c r="R87" s="53">
        <v>12735</v>
      </c>
      <c r="S87" s="53">
        <v>127.35000000000001</v>
      </c>
      <c r="T87" s="53">
        <v>12607.65</v>
      </c>
    </row>
    <row r="88" spans="1:21" x14ac:dyDescent="0.25">
      <c r="A88" s="104" t="s">
        <v>441</v>
      </c>
      <c r="B88" s="104"/>
      <c r="C88" s="104"/>
      <c r="D88" s="104"/>
      <c r="E88" s="104"/>
      <c r="F88" s="104"/>
      <c r="G88" s="104"/>
      <c r="H88" s="104"/>
      <c r="I88" s="104"/>
      <c r="J88" s="104"/>
      <c r="K88" s="54"/>
      <c r="L88" s="15"/>
      <c r="M88" s="18"/>
      <c r="N88" s="55">
        <f>SUM(N84:N87)</f>
        <v>5268</v>
      </c>
      <c r="O88" s="18"/>
      <c r="P88" s="22">
        <f>SUM(P84:P87)</f>
        <v>47412</v>
      </c>
      <c r="Q88" s="22">
        <f t="shared" ref="Q88:T88" si="15">SUM(Q84:Q87)</f>
        <v>24800</v>
      </c>
      <c r="R88" s="22">
        <f t="shared" si="15"/>
        <v>22612</v>
      </c>
      <c r="S88" s="22">
        <f t="shared" si="15"/>
        <v>226.12</v>
      </c>
      <c r="T88" s="22">
        <f t="shared" si="15"/>
        <v>22385.88</v>
      </c>
    </row>
    <row r="91" spans="1:21" x14ac:dyDescent="0.25">
      <c r="A91" s="104" t="s">
        <v>441</v>
      </c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22">
        <f>P80+P88</f>
        <v>487476</v>
      </c>
      <c r="Q91" s="22">
        <f>Q88+Q80</f>
        <v>126350</v>
      </c>
      <c r="R91" s="22">
        <f>R88+R80</f>
        <v>361126</v>
      </c>
      <c r="S91" s="22">
        <f>S80+S88</f>
        <v>3614.12</v>
      </c>
      <c r="T91" s="22">
        <f>T80+T88</f>
        <v>357511.88</v>
      </c>
    </row>
    <row r="98" spans="18:20" x14ac:dyDescent="0.25">
      <c r="T98" s="56"/>
    </row>
    <row r="99" spans="18:20" x14ac:dyDescent="0.25">
      <c r="R99" s="56"/>
    </row>
  </sheetData>
  <mergeCells count="3">
    <mergeCell ref="A80:M80"/>
    <mergeCell ref="A88:J88"/>
    <mergeCell ref="A91:O91"/>
  </mergeCells>
  <conditionalFormatting sqref="D1:D82 H89:H90 D89:D90 H1:H83 D92:D1048576 H92:H1048576">
    <cfRule type="duplicateValues" dxfId="10" priority="2"/>
  </conditionalFormatting>
  <conditionalFormatting sqref="H84:H87">
    <cfRule type="duplicateValues" dxfId="9" priority="1"/>
  </conditionalFormatting>
  <conditionalFormatting sqref="H89:H90 H1:H83 H92:H1048576">
    <cfRule type="duplicateValues" dxfId="8" priority="3"/>
  </conditionalFormatting>
  <pageMargins left="0.17" right="0.23622047244094491" top="0.65" bottom="0.74" header="0.31496062992125984" footer="0.31496062992125984"/>
  <pageSetup paperSize="9" scale="7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EAA5-8580-44D4-9186-78883E67731C}">
  <sheetPr>
    <tabColor rgb="FF92D050"/>
    <pageSetUpPr fitToPage="1"/>
  </sheetPr>
  <dimension ref="A1:U59"/>
  <sheetViews>
    <sheetView zoomScaleNormal="100" workbookViewId="0">
      <pane xSplit="4" ySplit="1" topLeftCell="E41" activePane="bottomRight" state="frozen"/>
      <selection pane="topRight" activeCell="V60" sqref="V60"/>
      <selection pane="bottomLeft" activeCell="V60" sqref="V60"/>
      <selection pane="bottomRight" activeCell="V60" sqref="V60"/>
    </sheetView>
  </sheetViews>
  <sheetFormatPr defaultColWidth="9.1796875" defaultRowHeight="12.5" x14ac:dyDescent="0.25"/>
  <cols>
    <col min="1" max="1" width="6.1796875" style="16" bestFit="1" customWidth="1"/>
    <col min="2" max="2" width="5.54296875" style="16" customWidth="1"/>
    <col min="3" max="3" width="4.54296875" style="16" bestFit="1" customWidth="1"/>
    <col min="4" max="4" width="16.81640625" style="14" customWidth="1"/>
    <col min="5" max="5" width="17.26953125" style="20" bestFit="1" customWidth="1"/>
    <col min="6" max="6" width="13.54296875" style="21" bestFit="1" customWidth="1"/>
    <col min="7" max="7" width="19.26953125" style="21" hidden="1" customWidth="1"/>
    <col min="8" max="8" width="12.453125" style="21" bestFit="1" customWidth="1"/>
    <col min="9" max="9" width="13.1796875" style="21" hidden="1" customWidth="1"/>
    <col min="10" max="10" width="6.1796875" style="16" bestFit="1" customWidth="1"/>
    <col min="11" max="11" width="14.54296875" style="21" hidden="1" customWidth="1"/>
    <col min="12" max="12" width="16.54296875" style="14" hidden="1" customWidth="1"/>
    <col min="13" max="13" width="16.26953125" style="16" hidden="1" customWidth="1"/>
    <col min="14" max="14" width="10.26953125" style="16" bestFit="1" customWidth="1"/>
    <col min="15" max="15" width="8.1796875" style="16" hidden="1" customWidth="1"/>
    <col min="16" max="16" width="9.54296875" style="14" hidden="1" customWidth="1"/>
    <col min="17" max="17" width="9.81640625" style="14" hidden="1" customWidth="1"/>
    <col min="18" max="18" width="9.54296875" style="14" bestFit="1" customWidth="1"/>
    <col min="19" max="19" width="6.81640625" style="14" bestFit="1" customWidth="1"/>
    <col min="20" max="20" width="10" style="14" bestFit="1" customWidth="1"/>
    <col min="21" max="21" width="11.1796875" style="14" bestFit="1" customWidth="1"/>
    <col min="22" max="16384" width="9.1796875" style="14"/>
  </cols>
  <sheetData>
    <row r="1" spans="1:21" s="34" customFormat="1" ht="25" x14ac:dyDescent="0.35">
      <c r="A1" s="26" t="s">
        <v>0</v>
      </c>
      <c r="B1" s="26" t="s">
        <v>1</v>
      </c>
      <c r="C1" s="26" t="s">
        <v>2</v>
      </c>
      <c r="D1" s="26" t="s">
        <v>3</v>
      </c>
      <c r="E1" s="27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465</v>
      </c>
      <c r="R1" s="26" t="s">
        <v>17</v>
      </c>
      <c r="S1" s="26" t="s">
        <v>18</v>
      </c>
      <c r="T1" s="26" t="s">
        <v>19</v>
      </c>
      <c r="U1" s="26" t="s">
        <v>466</v>
      </c>
    </row>
    <row r="2" spans="1:21" x14ac:dyDescent="0.25">
      <c r="A2" s="1">
        <v>1</v>
      </c>
      <c r="B2" s="1">
        <v>122</v>
      </c>
      <c r="C2" s="1" t="s">
        <v>467</v>
      </c>
      <c r="D2" s="2" t="s">
        <v>468</v>
      </c>
      <c r="E2" s="23" t="s">
        <v>469</v>
      </c>
      <c r="F2" s="4" t="s">
        <v>470</v>
      </c>
      <c r="G2" s="4" t="s">
        <v>51</v>
      </c>
      <c r="H2" s="4" t="s">
        <v>471</v>
      </c>
      <c r="I2" s="25" t="s">
        <v>472</v>
      </c>
      <c r="J2" s="1" t="s">
        <v>27</v>
      </c>
      <c r="K2" s="4">
        <v>6297228848</v>
      </c>
      <c r="L2" s="2" t="s">
        <v>54</v>
      </c>
      <c r="M2" s="1" t="s">
        <v>29</v>
      </c>
      <c r="N2" s="1">
        <v>328</v>
      </c>
      <c r="O2" s="1">
        <v>36</v>
      </c>
      <c r="P2" s="9">
        <f t="shared" ref="P2:P14" si="0">N2*O2</f>
        <v>11808</v>
      </c>
      <c r="Q2" s="9">
        <v>2000</v>
      </c>
      <c r="R2" s="9">
        <f t="shared" ref="R2:R15" si="1">P2-Q2</f>
        <v>9808</v>
      </c>
      <c r="S2" s="9">
        <f>ROUND(R2*1%,0)</f>
        <v>98</v>
      </c>
      <c r="T2" s="17">
        <f t="shared" ref="T2:T15" si="2">R2-S2</f>
        <v>9710</v>
      </c>
      <c r="U2" s="2" t="s">
        <v>473</v>
      </c>
    </row>
    <row r="3" spans="1:21" x14ac:dyDescent="0.25">
      <c r="A3" s="1">
        <f>A2+1</f>
        <v>2</v>
      </c>
      <c r="B3" s="1">
        <v>128</v>
      </c>
      <c r="C3" s="1" t="s">
        <v>467</v>
      </c>
      <c r="D3" s="2" t="s">
        <v>474</v>
      </c>
      <c r="E3" s="23" t="s">
        <v>475</v>
      </c>
      <c r="F3" s="4" t="s">
        <v>476</v>
      </c>
      <c r="G3" s="4" t="s">
        <v>376</v>
      </c>
      <c r="H3" s="4" t="s">
        <v>477</v>
      </c>
      <c r="I3" s="25" t="s">
        <v>478</v>
      </c>
      <c r="J3" s="1" t="s">
        <v>27</v>
      </c>
      <c r="K3" s="4">
        <v>9775850248</v>
      </c>
      <c r="L3" s="2" t="s">
        <v>54</v>
      </c>
      <c r="M3" s="1" t="s">
        <v>29</v>
      </c>
      <c r="N3" s="1">
        <v>393</v>
      </c>
      <c r="O3" s="1">
        <v>36</v>
      </c>
      <c r="P3" s="9">
        <f t="shared" si="0"/>
        <v>14148</v>
      </c>
      <c r="Q3" s="9">
        <v>3000</v>
      </c>
      <c r="R3" s="9">
        <f t="shared" si="1"/>
        <v>11148</v>
      </c>
      <c r="S3" s="9">
        <f>ROUND(R3*1%,0)</f>
        <v>111</v>
      </c>
      <c r="T3" s="17">
        <f t="shared" si="2"/>
        <v>11037</v>
      </c>
      <c r="U3" s="2" t="s">
        <v>473</v>
      </c>
    </row>
    <row r="4" spans="1:21" x14ac:dyDescent="0.25">
      <c r="A4" s="1">
        <f t="shared" ref="A4:A45" si="3">A3+1</f>
        <v>3</v>
      </c>
      <c r="B4" s="1">
        <v>148</v>
      </c>
      <c r="C4" s="1" t="s">
        <v>467</v>
      </c>
      <c r="D4" s="2" t="s">
        <v>479</v>
      </c>
      <c r="E4" s="23" t="s">
        <v>480</v>
      </c>
      <c r="F4" s="4" t="s">
        <v>481</v>
      </c>
      <c r="G4" s="4" t="s">
        <v>265</v>
      </c>
      <c r="H4" s="4" t="s">
        <v>482</v>
      </c>
      <c r="I4" s="25" t="s">
        <v>483</v>
      </c>
      <c r="J4" s="1" t="s">
        <v>27</v>
      </c>
      <c r="K4" s="4">
        <v>9231761032</v>
      </c>
      <c r="L4" s="2" t="s">
        <v>111</v>
      </c>
      <c r="M4" s="1" t="s">
        <v>29</v>
      </c>
      <c r="N4" s="1">
        <v>118</v>
      </c>
      <c r="O4" s="1">
        <v>36</v>
      </c>
      <c r="P4" s="9">
        <f t="shared" si="0"/>
        <v>4248</v>
      </c>
      <c r="Q4" s="9">
        <v>1000</v>
      </c>
      <c r="R4" s="9">
        <f t="shared" si="1"/>
        <v>3248</v>
      </c>
      <c r="S4" s="9">
        <f t="shared" ref="S4:S15" si="4">ROUND(R4*1%,0)</f>
        <v>32</v>
      </c>
      <c r="T4" s="17">
        <f t="shared" si="2"/>
        <v>3216</v>
      </c>
      <c r="U4" s="2" t="s">
        <v>473</v>
      </c>
    </row>
    <row r="5" spans="1:21" x14ac:dyDescent="0.25">
      <c r="A5" s="1">
        <f t="shared" si="3"/>
        <v>4</v>
      </c>
      <c r="B5" s="1">
        <v>149</v>
      </c>
      <c r="C5" s="1" t="s">
        <v>467</v>
      </c>
      <c r="D5" s="2" t="s">
        <v>484</v>
      </c>
      <c r="E5" s="23" t="s">
        <v>485</v>
      </c>
      <c r="F5" s="4" t="s">
        <v>481</v>
      </c>
      <c r="G5" s="4" t="s">
        <v>265</v>
      </c>
      <c r="H5" s="4" t="s">
        <v>486</v>
      </c>
      <c r="I5" s="25" t="s">
        <v>487</v>
      </c>
      <c r="J5" s="1" t="s">
        <v>27</v>
      </c>
      <c r="K5" s="4">
        <v>9933324210</v>
      </c>
      <c r="L5" s="2" t="s">
        <v>111</v>
      </c>
      <c r="M5" s="1" t="s">
        <v>29</v>
      </c>
      <c r="N5" s="1">
        <v>95</v>
      </c>
      <c r="O5" s="1">
        <v>36</v>
      </c>
      <c r="P5" s="9">
        <f t="shared" si="0"/>
        <v>3420</v>
      </c>
      <c r="Q5" s="9">
        <v>1000</v>
      </c>
      <c r="R5" s="9">
        <f t="shared" si="1"/>
        <v>2420</v>
      </c>
      <c r="S5" s="9">
        <f t="shared" si="4"/>
        <v>24</v>
      </c>
      <c r="T5" s="17">
        <f t="shared" si="2"/>
        <v>2396</v>
      </c>
      <c r="U5" s="2" t="s">
        <v>473</v>
      </c>
    </row>
    <row r="6" spans="1:21" x14ac:dyDescent="0.25">
      <c r="A6" s="1">
        <f t="shared" si="3"/>
        <v>5</v>
      </c>
      <c r="B6" s="1">
        <v>154</v>
      </c>
      <c r="C6" s="1" t="s">
        <v>467</v>
      </c>
      <c r="D6" s="2" t="s">
        <v>488</v>
      </c>
      <c r="E6" s="23" t="s">
        <v>489</v>
      </c>
      <c r="F6" s="4" t="s">
        <v>490</v>
      </c>
      <c r="G6" s="4" t="s">
        <v>376</v>
      </c>
      <c r="H6" s="4" t="s">
        <v>491</v>
      </c>
      <c r="I6" s="25" t="s">
        <v>492</v>
      </c>
      <c r="J6" s="1" t="s">
        <v>27</v>
      </c>
      <c r="K6" s="4" t="s">
        <v>493</v>
      </c>
      <c r="L6" s="2" t="s">
        <v>111</v>
      </c>
      <c r="M6" s="1" t="s">
        <v>29</v>
      </c>
      <c r="N6" s="1">
        <v>42</v>
      </c>
      <c r="O6" s="1">
        <v>36</v>
      </c>
      <c r="P6" s="9">
        <f t="shared" si="0"/>
        <v>1512</v>
      </c>
      <c r="Q6" s="9">
        <v>0</v>
      </c>
      <c r="R6" s="9">
        <f t="shared" si="1"/>
        <v>1512</v>
      </c>
      <c r="S6" s="9">
        <f t="shared" si="4"/>
        <v>15</v>
      </c>
      <c r="T6" s="17">
        <f t="shared" si="2"/>
        <v>1497</v>
      </c>
      <c r="U6" s="2" t="s">
        <v>473</v>
      </c>
    </row>
    <row r="7" spans="1:21" x14ac:dyDescent="0.25">
      <c r="A7" s="1">
        <f t="shared" si="3"/>
        <v>6</v>
      </c>
      <c r="B7" s="1">
        <v>165</v>
      </c>
      <c r="C7" s="1" t="s">
        <v>467</v>
      </c>
      <c r="D7" s="2" t="s">
        <v>494</v>
      </c>
      <c r="E7" s="23" t="s">
        <v>495</v>
      </c>
      <c r="F7" s="4" t="s">
        <v>135</v>
      </c>
      <c r="G7" s="4" t="s">
        <v>45</v>
      </c>
      <c r="H7" s="4" t="s">
        <v>496</v>
      </c>
      <c r="I7" s="25" t="s">
        <v>497</v>
      </c>
      <c r="J7" s="1" t="s">
        <v>27</v>
      </c>
      <c r="K7" s="4">
        <v>6296958307</v>
      </c>
      <c r="L7" s="2" t="s">
        <v>127</v>
      </c>
      <c r="M7" s="1" t="s">
        <v>29</v>
      </c>
      <c r="N7" s="1">
        <v>45</v>
      </c>
      <c r="O7" s="1">
        <v>36</v>
      </c>
      <c r="P7" s="9">
        <f t="shared" si="0"/>
        <v>1620</v>
      </c>
      <c r="Q7" s="9">
        <v>500</v>
      </c>
      <c r="R7" s="9">
        <f t="shared" si="1"/>
        <v>1120</v>
      </c>
      <c r="S7" s="9">
        <f t="shared" si="4"/>
        <v>11</v>
      </c>
      <c r="T7" s="17">
        <f t="shared" si="2"/>
        <v>1109</v>
      </c>
      <c r="U7" s="2" t="s">
        <v>473</v>
      </c>
    </row>
    <row r="8" spans="1:21" x14ac:dyDescent="0.25">
      <c r="A8" s="1">
        <f t="shared" si="3"/>
        <v>7</v>
      </c>
      <c r="B8" s="1">
        <v>183</v>
      </c>
      <c r="C8" s="1" t="s">
        <v>467</v>
      </c>
      <c r="D8" s="2" t="s">
        <v>498</v>
      </c>
      <c r="E8" s="23" t="s">
        <v>499</v>
      </c>
      <c r="F8" s="4" t="s">
        <v>500</v>
      </c>
      <c r="G8" s="4" t="s">
        <v>39</v>
      </c>
      <c r="H8" s="4" t="s">
        <v>501</v>
      </c>
      <c r="I8" s="25" t="s">
        <v>502</v>
      </c>
      <c r="J8" s="1" t="s">
        <v>27</v>
      </c>
      <c r="K8" s="4">
        <v>8391962390</v>
      </c>
      <c r="L8" s="2" t="s">
        <v>54</v>
      </c>
      <c r="M8" s="1" t="s">
        <v>29</v>
      </c>
      <c r="N8" s="1">
        <v>111</v>
      </c>
      <c r="O8" s="1">
        <v>36</v>
      </c>
      <c r="P8" s="9">
        <f t="shared" si="0"/>
        <v>3996</v>
      </c>
      <c r="Q8" s="9">
        <v>0</v>
      </c>
      <c r="R8" s="9">
        <f t="shared" si="1"/>
        <v>3996</v>
      </c>
      <c r="S8" s="9">
        <f t="shared" si="4"/>
        <v>40</v>
      </c>
      <c r="T8" s="17">
        <f t="shared" si="2"/>
        <v>3956</v>
      </c>
      <c r="U8" s="2" t="s">
        <v>473</v>
      </c>
    </row>
    <row r="9" spans="1:21" x14ac:dyDescent="0.25">
      <c r="A9" s="1">
        <v>8</v>
      </c>
      <c r="B9" s="1">
        <v>206</v>
      </c>
      <c r="C9" s="1" t="s">
        <v>467</v>
      </c>
      <c r="D9" s="2" t="s">
        <v>503</v>
      </c>
      <c r="E9" s="3" t="s">
        <v>504</v>
      </c>
      <c r="F9" s="4" t="s">
        <v>505</v>
      </c>
      <c r="G9" s="4" t="s">
        <v>506</v>
      </c>
      <c r="H9" s="4" t="s">
        <v>507</v>
      </c>
      <c r="I9" s="25" t="s">
        <v>508</v>
      </c>
      <c r="J9" s="1" t="s">
        <v>27</v>
      </c>
      <c r="K9" s="4">
        <v>9875616165</v>
      </c>
      <c r="L9" s="2" t="s">
        <v>196</v>
      </c>
      <c r="M9" s="1" t="s">
        <v>164</v>
      </c>
      <c r="N9" s="1">
        <v>114</v>
      </c>
      <c r="O9" s="1">
        <v>36</v>
      </c>
      <c r="P9" s="9">
        <f t="shared" si="0"/>
        <v>4104</v>
      </c>
      <c r="Q9" s="9">
        <v>1000</v>
      </c>
      <c r="R9" s="9">
        <f t="shared" si="1"/>
        <v>3104</v>
      </c>
      <c r="S9" s="9">
        <f t="shared" si="4"/>
        <v>31</v>
      </c>
      <c r="T9" s="17">
        <f t="shared" si="2"/>
        <v>3073</v>
      </c>
      <c r="U9" s="2" t="s">
        <v>473</v>
      </c>
    </row>
    <row r="10" spans="1:21" x14ac:dyDescent="0.25">
      <c r="A10" s="1">
        <f t="shared" si="3"/>
        <v>9</v>
      </c>
      <c r="B10" s="1">
        <v>212</v>
      </c>
      <c r="C10" s="1" t="s">
        <v>467</v>
      </c>
      <c r="D10" s="2" t="s">
        <v>509</v>
      </c>
      <c r="E10" s="23" t="s">
        <v>510</v>
      </c>
      <c r="F10" s="4" t="s">
        <v>511</v>
      </c>
      <c r="G10" s="4" t="s">
        <v>24</v>
      </c>
      <c r="H10" s="4" t="s">
        <v>512</v>
      </c>
      <c r="I10" s="25" t="s">
        <v>513</v>
      </c>
      <c r="J10" s="1" t="s">
        <v>27</v>
      </c>
      <c r="K10" s="4">
        <v>7890197887</v>
      </c>
      <c r="L10" s="2" t="s">
        <v>163</v>
      </c>
      <c r="M10" s="1" t="s">
        <v>164</v>
      </c>
      <c r="N10" s="1">
        <v>23</v>
      </c>
      <c r="O10" s="1">
        <v>36</v>
      </c>
      <c r="P10" s="9">
        <f t="shared" si="0"/>
        <v>828</v>
      </c>
      <c r="Q10" s="9">
        <v>0</v>
      </c>
      <c r="R10" s="9">
        <f t="shared" si="1"/>
        <v>828</v>
      </c>
      <c r="S10" s="9">
        <f t="shared" si="4"/>
        <v>8</v>
      </c>
      <c r="T10" s="17">
        <f t="shared" si="2"/>
        <v>820</v>
      </c>
      <c r="U10" s="2" t="s">
        <v>473</v>
      </c>
    </row>
    <row r="11" spans="1:21" x14ac:dyDescent="0.25">
      <c r="A11" s="1">
        <f t="shared" si="3"/>
        <v>10</v>
      </c>
      <c r="B11" s="1">
        <v>216</v>
      </c>
      <c r="C11" s="1" t="s">
        <v>467</v>
      </c>
      <c r="D11" s="2" t="s">
        <v>514</v>
      </c>
      <c r="E11" s="3" t="s">
        <v>515</v>
      </c>
      <c r="F11" s="4" t="s">
        <v>516</v>
      </c>
      <c r="G11" s="4" t="s">
        <v>314</v>
      </c>
      <c r="H11" s="4" t="s">
        <v>517</v>
      </c>
      <c r="I11" s="25" t="s">
        <v>518</v>
      </c>
      <c r="J11" s="1" t="s">
        <v>27</v>
      </c>
      <c r="K11" s="4">
        <v>7603071386</v>
      </c>
      <c r="L11" s="2" t="s">
        <v>163</v>
      </c>
      <c r="M11" s="1" t="s">
        <v>164</v>
      </c>
      <c r="N11" s="1">
        <v>66</v>
      </c>
      <c r="O11" s="1">
        <v>36</v>
      </c>
      <c r="P11" s="9">
        <f t="shared" si="0"/>
        <v>2376</v>
      </c>
      <c r="Q11" s="9">
        <v>0</v>
      </c>
      <c r="R11" s="9">
        <f t="shared" si="1"/>
        <v>2376</v>
      </c>
      <c r="S11" s="9">
        <f t="shared" si="4"/>
        <v>24</v>
      </c>
      <c r="T11" s="17">
        <f t="shared" si="2"/>
        <v>2352</v>
      </c>
      <c r="U11" s="2" t="s">
        <v>473</v>
      </c>
    </row>
    <row r="12" spans="1:21" x14ac:dyDescent="0.25">
      <c r="A12" s="1">
        <f t="shared" si="3"/>
        <v>11</v>
      </c>
      <c r="B12" s="1">
        <v>219</v>
      </c>
      <c r="C12" s="1" t="s">
        <v>467</v>
      </c>
      <c r="D12" s="2" t="s">
        <v>519</v>
      </c>
      <c r="E12" s="23" t="s">
        <v>520</v>
      </c>
      <c r="F12" s="4" t="s">
        <v>160</v>
      </c>
      <c r="G12" s="4" t="s">
        <v>24</v>
      </c>
      <c r="H12" s="4" t="s">
        <v>521</v>
      </c>
      <c r="I12" s="25" t="s">
        <v>522</v>
      </c>
      <c r="J12" s="1" t="s">
        <v>27</v>
      </c>
      <c r="K12" s="4">
        <v>0</v>
      </c>
      <c r="L12" s="2" t="s">
        <v>163</v>
      </c>
      <c r="M12" s="1" t="s">
        <v>164</v>
      </c>
      <c r="N12" s="1">
        <v>15</v>
      </c>
      <c r="O12" s="1">
        <v>36</v>
      </c>
      <c r="P12" s="9">
        <f t="shared" si="0"/>
        <v>540</v>
      </c>
      <c r="Q12" s="9">
        <v>0</v>
      </c>
      <c r="R12" s="9">
        <f t="shared" si="1"/>
        <v>540</v>
      </c>
      <c r="S12" s="9">
        <f t="shared" si="4"/>
        <v>5</v>
      </c>
      <c r="T12" s="17">
        <f t="shared" si="2"/>
        <v>535</v>
      </c>
      <c r="U12" s="2" t="s">
        <v>473</v>
      </c>
    </row>
    <row r="13" spans="1:21" x14ac:dyDescent="0.25">
      <c r="A13" s="1">
        <f t="shared" si="3"/>
        <v>12</v>
      </c>
      <c r="B13" s="1">
        <v>234</v>
      </c>
      <c r="C13" s="1" t="s">
        <v>467</v>
      </c>
      <c r="D13" s="2" t="s">
        <v>523</v>
      </c>
      <c r="E13" s="23" t="s">
        <v>524</v>
      </c>
      <c r="F13" s="4" t="s">
        <v>525</v>
      </c>
      <c r="G13" s="4" t="s">
        <v>238</v>
      </c>
      <c r="H13" s="4" t="s">
        <v>526</v>
      </c>
      <c r="I13" s="25" t="s">
        <v>527</v>
      </c>
      <c r="J13" s="1" t="s">
        <v>27</v>
      </c>
      <c r="K13" s="4" t="s">
        <v>528</v>
      </c>
      <c r="L13" s="2" t="s">
        <v>202</v>
      </c>
      <c r="M13" s="1" t="s">
        <v>164</v>
      </c>
      <c r="N13" s="1">
        <v>122</v>
      </c>
      <c r="O13" s="1">
        <v>36</v>
      </c>
      <c r="P13" s="9">
        <f t="shared" si="0"/>
        <v>4392</v>
      </c>
      <c r="Q13" s="9">
        <v>0</v>
      </c>
      <c r="R13" s="9">
        <f t="shared" si="1"/>
        <v>4392</v>
      </c>
      <c r="S13" s="9">
        <f t="shared" si="4"/>
        <v>44</v>
      </c>
      <c r="T13" s="17">
        <f t="shared" si="2"/>
        <v>4348</v>
      </c>
      <c r="U13" s="2" t="s">
        <v>473</v>
      </c>
    </row>
    <row r="14" spans="1:21" x14ac:dyDescent="0.25">
      <c r="A14" s="1">
        <f t="shared" si="3"/>
        <v>13</v>
      </c>
      <c r="B14" s="1">
        <v>235</v>
      </c>
      <c r="C14" s="1" t="s">
        <v>467</v>
      </c>
      <c r="D14" s="2" t="s">
        <v>529</v>
      </c>
      <c r="E14" s="23" t="s">
        <v>530</v>
      </c>
      <c r="F14" s="4" t="s">
        <v>531</v>
      </c>
      <c r="G14" s="4" t="s">
        <v>45</v>
      </c>
      <c r="H14" s="4" t="s">
        <v>532</v>
      </c>
      <c r="I14" s="25" t="s">
        <v>533</v>
      </c>
      <c r="J14" s="1" t="s">
        <v>27</v>
      </c>
      <c r="K14" s="4">
        <v>7047690407</v>
      </c>
      <c r="L14" s="2" t="s">
        <v>202</v>
      </c>
      <c r="M14" s="1" t="s">
        <v>164</v>
      </c>
      <c r="N14" s="1">
        <v>46</v>
      </c>
      <c r="O14" s="1">
        <v>36</v>
      </c>
      <c r="P14" s="9">
        <f t="shared" si="0"/>
        <v>1656</v>
      </c>
      <c r="Q14" s="9">
        <v>0</v>
      </c>
      <c r="R14" s="9">
        <f t="shared" si="1"/>
        <v>1656</v>
      </c>
      <c r="S14" s="9">
        <f t="shared" si="4"/>
        <v>17</v>
      </c>
      <c r="T14" s="17">
        <f t="shared" si="2"/>
        <v>1639</v>
      </c>
      <c r="U14" s="2" t="s">
        <v>473</v>
      </c>
    </row>
    <row r="15" spans="1:21" x14ac:dyDescent="0.25">
      <c r="A15" s="1">
        <f t="shared" si="3"/>
        <v>14</v>
      </c>
      <c r="B15" s="1">
        <v>238</v>
      </c>
      <c r="C15" s="1" t="s">
        <v>467</v>
      </c>
      <c r="D15" s="2" t="s">
        <v>534</v>
      </c>
      <c r="E15" s="23" t="s">
        <v>535</v>
      </c>
      <c r="F15" s="4" t="s">
        <v>536</v>
      </c>
      <c r="G15" s="4" t="s">
        <v>537</v>
      </c>
      <c r="H15" s="4" t="s">
        <v>538</v>
      </c>
      <c r="I15" s="25" t="s">
        <v>539</v>
      </c>
      <c r="J15" s="1" t="s">
        <v>27</v>
      </c>
      <c r="K15" s="4">
        <v>7029124700</v>
      </c>
      <c r="L15" s="2" t="s">
        <v>202</v>
      </c>
      <c r="M15" s="1" t="s">
        <v>164</v>
      </c>
      <c r="N15" s="1">
        <v>372</v>
      </c>
      <c r="O15" s="1">
        <v>36</v>
      </c>
      <c r="P15" s="9">
        <f t="shared" ref="P15:P25" si="5">N15*O15</f>
        <v>13392</v>
      </c>
      <c r="Q15" s="9">
        <v>1000</v>
      </c>
      <c r="R15" s="9">
        <f t="shared" si="1"/>
        <v>12392</v>
      </c>
      <c r="S15" s="9">
        <f t="shared" si="4"/>
        <v>124</v>
      </c>
      <c r="T15" s="17">
        <f t="shared" si="2"/>
        <v>12268</v>
      </c>
      <c r="U15" s="2" t="s">
        <v>473</v>
      </c>
    </row>
    <row r="16" spans="1:21" x14ac:dyDescent="0.25">
      <c r="A16" s="1">
        <f t="shared" si="3"/>
        <v>15</v>
      </c>
      <c r="B16" s="1">
        <v>248</v>
      </c>
      <c r="C16" s="1" t="s">
        <v>467</v>
      </c>
      <c r="D16" s="2" t="s">
        <v>540</v>
      </c>
      <c r="E16" s="23" t="s">
        <v>541</v>
      </c>
      <c r="F16" s="4" t="s">
        <v>542</v>
      </c>
      <c r="G16" s="4" t="s">
        <v>51</v>
      </c>
      <c r="H16" s="4" t="s">
        <v>543</v>
      </c>
      <c r="I16" s="25" t="s">
        <v>544</v>
      </c>
      <c r="J16" s="1" t="s">
        <v>27</v>
      </c>
      <c r="K16" s="4">
        <v>9635204567</v>
      </c>
      <c r="L16" s="2" t="s">
        <v>196</v>
      </c>
      <c r="M16" s="1" t="s">
        <v>164</v>
      </c>
      <c r="N16" s="1">
        <v>164</v>
      </c>
      <c r="O16" s="1">
        <v>36</v>
      </c>
      <c r="P16" s="9">
        <f t="shared" si="5"/>
        <v>5904</v>
      </c>
      <c r="Q16" s="9">
        <v>0</v>
      </c>
      <c r="R16" s="9">
        <f t="shared" ref="R16:R25" si="6">P16-Q16</f>
        <v>5904</v>
      </c>
      <c r="S16" s="9">
        <f t="shared" ref="S16:S25" si="7">ROUND(R16*1%,0)</f>
        <v>59</v>
      </c>
      <c r="T16" s="17">
        <f t="shared" ref="T16:T25" si="8">R16-S16</f>
        <v>5845</v>
      </c>
      <c r="U16" s="2" t="s">
        <v>473</v>
      </c>
    </row>
    <row r="17" spans="1:21" x14ac:dyDescent="0.25">
      <c r="A17" s="1">
        <f t="shared" si="3"/>
        <v>16</v>
      </c>
      <c r="B17" s="1">
        <v>249</v>
      </c>
      <c r="C17" s="1" t="s">
        <v>467</v>
      </c>
      <c r="D17" s="2" t="s">
        <v>545</v>
      </c>
      <c r="E17" s="23" t="s">
        <v>546</v>
      </c>
      <c r="F17" s="4" t="s">
        <v>547</v>
      </c>
      <c r="G17" s="4" t="s">
        <v>45</v>
      </c>
      <c r="H17" s="4" t="s">
        <v>548</v>
      </c>
      <c r="I17" s="25" t="s">
        <v>549</v>
      </c>
      <c r="J17" s="1" t="s">
        <v>27</v>
      </c>
      <c r="K17" s="4">
        <v>7699797470</v>
      </c>
      <c r="L17" s="2" t="s">
        <v>196</v>
      </c>
      <c r="M17" s="1" t="s">
        <v>164</v>
      </c>
      <c r="N17" s="1">
        <v>18</v>
      </c>
      <c r="O17" s="1">
        <v>36</v>
      </c>
      <c r="P17" s="9">
        <f t="shared" si="5"/>
        <v>648</v>
      </c>
      <c r="Q17" s="9">
        <v>0</v>
      </c>
      <c r="R17" s="9">
        <f t="shared" si="6"/>
        <v>648</v>
      </c>
      <c r="S17" s="9">
        <f t="shared" si="7"/>
        <v>6</v>
      </c>
      <c r="T17" s="17">
        <f t="shared" si="8"/>
        <v>642</v>
      </c>
      <c r="U17" s="2" t="s">
        <v>473</v>
      </c>
    </row>
    <row r="18" spans="1:21" x14ac:dyDescent="0.25">
      <c r="A18" s="1">
        <f t="shared" si="3"/>
        <v>17</v>
      </c>
      <c r="B18" s="1">
        <v>261</v>
      </c>
      <c r="C18" s="1" t="s">
        <v>467</v>
      </c>
      <c r="D18" s="2" t="s">
        <v>550</v>
      </c>
      <c r="E18" s="23" t="s">
        <v>551</v>
      </c>
      <c r="F18" s="4" t="s">
        <v>135</v>
      </c>
      <c r="G18" s="4" t="s">
        <v>45</v>
      </c>
      <c r="H18" s="4" t="s">
        <v>552</v>
      </c>
      <c r="I18" s="25" t="s">
        <v>553</v>
      </c>
      <c r="J18" s="1" t="s">
        <v>27</v>
      </c>
      <c r="K18" s="4">
        <v>9233706588</v>
      </c>
      <c r="L18" s="2" t="s">
        <v>223</v>
      </c>
      <c r="M18" s="1" t="s">
        <v>164</v>
      </c>
      <c r="N18" s="1">
        <v>101</v>
      </c>
      <c r="O18" s="1">
        <v>36</v>
      </c>
      <c r="P18" s="9">
        <f t="shared" si="5"/>
        <v>3636</v>
      </c>
      <c r="Q18" s="9">
        <v>1000</v>
      </c>
      <c r="R18" s="9">
        <f t="shared" si="6"/>
        <v>2636</v>
      </c>
      <c r="S18" s="9">
        <f t="shared" si="7"/>
        <v>26</v>
      </c>
      <c r="T18" s="17">
        <f t="shared" si="8"/>
        <v>2610</v>
      </c>
      <c r="U18" s="2" t="s">
        <v>473</v>
      </c>
    </row>
    <row r="19" spans="1:21" x14ac:dyDescent="0.25">
      <c r="A19" s="1">
        <f t="shared" si="3"/>
        <v>18</v>
      </c>
      <c r="B19" s="1">
        <v>280</v>
      </c>
      <c r="C19" s="1" t="s">
        <v>467</v>
      </c>
      <c r="D19" s="2" t="s">
        <v>554</v>
      </c>
      <c r="E19" s="23" t="s">
        <v>555</v>
      </c>
      <c r="F19" s="4" t="s">
        <v>193</v>
      </c>
      <c r="G19" s="4" t="s">
        <v>51</v>
      </c>
      <c r="H19" s="4" t="s">
        <v>556</v>
      </c>
      <c r="I19" s="25" t="s">
        <v>557</v>
      </c>
      <c r="J19" s="1" t="s">
        <v>27</v>
      </c>
      <c r="K19" s="4">
        <v>7076054257</v>
      </c>
      <c r="L19" s="2" t="s">
        <v>196</v>
      </c>
      <c r="M19" s="1" t="s">
        <v>164</v>
      </c>
      <c r="N19" s="1">
        <v>59</v>
      </c>
      <c r="O19" s="1">
        <v>36</v>
      </c>
      <c r="P19" s="9">
        <f t="shared" si="5"/>
        <v>2124</v>
      </c>
      <c r="Q19" s="9">
        <v>0</v>
      </c>
      <c r="R19" s="9">
        <f t="shared" si="6"/>
        <v>2124</v>
      </c>
      <c r="S19" s="9">
        <f t="shared" si="7"/>
        <v>21</v>
      </c>
      <c r="T19" s="17">
        <f t="shared" si="8"/>
        <v>2103</v>
      </c>
      <c r="U19" s="2" t="s">
        <v>473</v>
      </c>
    </row>
    <row r="20" spans="1:21" x14ac:dyDescent="0.25">
      <c r="A20" s="1">
        <f t="shared" si="3"/>
        <v>19</v>
      </c>
      <c r="B20" s="1">
        <v>331</v>
      </c>
      <c r="C20" s="1" t="s">
        <v>467</v>
      </c>
      <c r="D20" s="2" t="s">
        <v>558</v>
      </c>
      <c r="E20" s="23" t="s">
        <v>559</v>
      </c>
      <c r="F20" s="4" t="s">
        <v>560</v>
      </c>
      <c r="G20" s="4" t="s">
        <v>45</v>
      </c>
      <c r="H20" s="4" t="s">
        <v>561</v>
      </c>
      <c r="I20" s="25" t="s">
        <v>562</v>
      </c>
      <c r="J20" s="1" t="s">
        <v>27</v>
      </c>
      <c r="K20" s="4">
        <v>9382234631</v>
      </c>
      <c r="L20" s="2" t="s">
        <v>246</v>
      </c>
      <c r="M20" s="1" t="s">
        <v>234</v>
      </c>
      <c r="N20" s="1">
        <v>97</v>
      </c>
      <c r="O20" s="1">
        <v>36</v>
      </c>
      <c r="P20" s="9">
        <f t="shared" si="5"/>
        <v>3492</v>
      </c>
      <c r="Q20" s="9">
        <v>500</v>
      </c>
      <c r="R20" s="9">
        <f t="shared" si="6"/>
        <v>2992</v>
      </c>
      <c r="S20" s="9">
        <f t="shared" si="7"/>
        <v>30</v>
      </c>
      <c r="T20" s="17">
        <f t="shared" si="8"/>
        <v>2962</v>
      </c>
      <c r="U20" s="2" t="s">
        <v>473</v>
      </c>
    </row>
    <row r="21" spans="1:21" x14ac:dyDescent="0.25">
      <c r="A21" s="1">
        <f t="shared" si="3"/>
        <v>20</v>
      </c>
      <c r="B21" s="1">
        <v>332</v>
      </c>
      <c r="C21" s="1" t="s">
        <v>467</v>
      </c>
      <c r="D21" s="2" t="s">
        <v>563</v>
      </c>
      <c r="E21" s="23" t="s">
        <v>564</v>
      </c>
      <c r="F21" s="4" t="s">
        <v>565</v>
      </c>
      <c r="G21" s="4" t="s">
        <v>45</v>
      </c>
      <c r="H21" s="4" t="s">
        <v>566</v>
      </c>
      <c r="I21" s="25" t="s">
        <v>567</v>
      </c>
      <c r="J21" s="1" t="s">
        <v>27</v>
      </c>
      <c r="K21" s="4">
        <v>6295439549</v>
      </c>
      <c r="L21" s="2" t="s">
        <v>246</v>
      </c>
      <c r="M21" s="1" t="s">
        <v>234</v>
      </c>
      <c r="N21" s="1">
        <v>108</v>
      </c>
      <c r="O21" s="1">
        <v>36</v>
      </c>
      <c r="P21" s="9">
        <f t="shared" si="5"/>
        <v>3888</v>
      </c>
      <c r="Q21" s="9">
        <v>500</v>
      </c>
      <c r="R21" s="9">
        <f t="shared" si="6"/>
        <v>3388</v>
      </c>
      <c r="S21" s="9">
        <f t="shared" si="7"/>
        <v>34</v>
      </c>
      <c r="T21" s="17">
        <f t="shared" si="8"/>
        <v>3354</v>
      </c>
      <c r="U21" s="2" t="s">
        <v>473</v>
      </c>
    </row>
    <row r="22" spans="1:21" x14ac:dyDescent="0.25">
      <c r="A22" s="1">
        <f t="shared" si="3"/>
        <v>21</v>
      </c>
      <c r="B22" s="1">
        <v>334</v>
      </c>
      <c r="C22" s="1" t="s">
        <v>467</v>
      </c>
      <c r="D22" s="2" t="s">
        <v>568</v>
      </c>
      <c r="E22" s="23" t="s">
        <v>569</v>
      </c>
      <c r="F22" s="4" t="s">
        <v>570</v>
      </c>
      <c r="G22" s="4" t="s">
        <v>51</v>
      </c>
      <c r="H22" s="4" t="s">
        <v>571</v>
      </c>
      <c r="I22" s="25" t="s">
        <v>572</v>
      </c>
      <c r="J22" s="1" t="s">
        <v>27</v>
      </c>
      <c r="K22" s="4">
        <v>8001406813</v>
      </c>
      <c r="L22" s="2" t="s">
        <v>246</v>
      </c>
      <c r="M22" s="1" t="s">
        <v>234</v>
      </c>
      <c r="N22" s="1">
        <v>45</v>
      </c>
      <c r="O22" s="1">
        <v>36</v>
      </c>
      <c r="P22" s="9">
        <f t="shared" si="5"/>
        <v>1620</v>
      </c>
      <c r="Q22" s="9">
        <v>650</v>
      </c>
      <c r="R22" s="9">
        <f t="shared" si="6"/>
        <v>970</v>
      </c>
      <c r="S22" s="9">
        <f t="shared" si="7"/>
        <v>10</v>
      </c>
      <c r="T22" s="17">
        <f t="shared" si="8"/>
        <v>960</v>
      </c>
      <c r="U22" s="2" t="s">
        <v>473</v>
      </c>
    </row>
    <row r="23" spans="1:21" x14ac:dyDescent="0.25">
      <c r="A23" s="1">
        <f t="shared" si="3"/>
        <v>22</v>
      </c>
      <c r="B23" s="1">
        <v>335</v>
      </c>
      <c r="C23" s="1" t="s">
        <v>467</v>
      </c>
      <c r="D23" s="2" t="s">
        <v>573</v>
      </c>
      <c r="E23" s="23" t="s">
        <v>574</v>
      </c>
      <c r="F23" s="4" t="s">
        <v>575</v>
      </c>
      <c r="G23" s="4" t="s">
        <v>45</v>
      </c>
      <c r="H23" s="4" t="s">
        <v>576</v>
      </c>
      <c r="I23" s="25" t="s">
        <v>577</v>
      </c>
      <c r="J23" s="1" t="s">
        <v>27</v>
      </c>
      <c r="K23" s="4">
        <v>7047564755</v>
      </c>
      <c r="L23" s="2" t="s">
        <v>246</v>
      </c>
      <c r="M23" s="1" t="s">
        <v>234</v>
      </c>
      <c r="N23" s="1">
        <v>42</v>
      </c>
      <c r="O23" s="1">
        <v>36</v>
      </c>
      <c r="P23" s="9">
        <f t="shared" si="5"/>
        <v>1512</v>
      </c>
      <c r="Q23" s="9">
        <v>500</v>
      </c>
      <c r="R23" s="9">
        <f t="shared" si="6"/>
        <v>1012</v>
      </c>
      <c r="S23" s="9">
        <f t="shared" si="7"/>
        <v>10</v>
      </c>
      <c r="T23" s="17">
        <f t="shared" si="8"/>
        <v>1002</v>
      </c>
      <c r="U23" s="2" t="s">
        <v>473</v>
      </c>
    </row>
    <row r="24" spans="1:21" x14ac:dyDescent="0.25">
      <c r="A24" s="1">
        <f t="shared" si="3"/>
        <v>23</v>
      </c>
      <c r="B24" s="1">
        <v>339</v>
      </c>
      <c r="C24" s="1" t="s">
        <v>467</v>
      </c>
      <c r="D24" s="2" t="s">
        <v>578</v>
      </c>
      <c r="E24" s="23" t="s">
        <v>579</v>
      </c>
      <c r="F24" s="4" t="s">
        <v>575</v>
      </c>
      <c r="G24" s="4" t="s">
        <v>45</v>
      </c>
      <c r="H24" s="4" t="s">
        <v>580</v>
      </c>
      <c r="I24" s="25" t="s">
        <v>581</v>
      </c>
      <c r="J24" s="1" t="s">
        <v>27</v>
      </c>
      <c r="K24" s="4">
        <v>9547207790</v>
      </c>
      <c r="L24" s="2" t="s">
        <v>246</v>
      </c>
      <c r="M24" s="1" t="s">
        <v>234</v>
      </c>
      <c r="N24" s="1">
        <v>5</v>
      </c>
      <c r="O24" s="1">
        <v>36</v>
      </c>
      <c r="P24" s="9">
        <f t="shared" si="5"/>
        <v>180</v>
      </c>
      <c r="Q24" s="9">
        <v>0</v>
      </c>
      <c r="R24" s="9">
        <f t="shared" si="6"/>
        <v>180</v>
      </c>
      <c r="S24" s="9">
        <f t="shared" si="7"/>
        <v>2</v>
      </c>
      <c r="T24" s="17">
        <f t="shared" si="8"/>
        <v>178</v>
      </c>
      <c r="U24" s="2" t="s">
        <v>473</v>
      </c>
    </row>
    <row r="25" spans="1:21" x14ac:dyDescent="0.25">
      <c r="A25" s="1">
        <f t="shared" si="3"/>
        <v>24</v>
      </c>
      <c r="B25" s="1">
        <v>350</v>
      </c>
      <c r="C25" s="1" t="s">
        <v>467</v>
      </c>
      <c r="D25" s="2" t="s">
        <v>582</v>
      </c>
      <c r="E25" s="23" t="s">
        <v>583</v>
      </c>
      <c r="F25" s="4" t="s">
        <v>584</v>
      </c>
      <c r="G25" s="4" t="s">
        <v>51</v>
      </c>
      <c r="H25" s="4" t="s">
        <v>585</v>
      </c>
      <c r="I25" s="25" t="s">
        <v>586</v>
      </c>
      <c r="J25" s="1" t="s">
        <v>27</v>
      </c>
      <c r="K25" s="4">
        <v>9635075980</v>
      </c>
      <c r="L25" s="2" t="s">
        <v>587</v>
      </c>
      <c r="M25" s="1" t="s">
        <v>234</v>
      </c>
      <c r="N25" s="1">
        <v>358</v>
      </c>
      <c r="O25" s="1">
        <v>36</v>
      </c>
      <c r="P25" s="9">
        <f t="shared" si="5"/>
        <v>12888</v>
      </c>
      <c r="Q25" s="9">
        <v>3700</v>
      </c>
      <c r="R25" s="9">
        <f t="shared" si="6"/>
        <v>9188</v>
      </c>
      <c r="S25" s="9">
        <f t="shared" si="7"/>
        <v>92</v>
      </c>
      <c r="T25" s="17">
        <f t="shared" si="8"/>
        <v>9096</v>
      </c>
      <c r="U25" s="2" t="s">
        <v>473</v>
      </c>
    </row>
    <row r="26" spans="1:21" x14ac:dyDescent="0.25">
      <c r="A26" s="1">
        <f t="shared" si="3"/>
        <v>25</v>
      </c>
      <c r="B26" s="1">
        <v>401</v>
      </c>
      <c r="C26" s="1" t="s">
        <v>467</v>
      </c>
      <c r="D26" s="2" t="s">
        <v>588</v>
      </c>
      <c r="E26" s="23" t="s">
        <v>589</v>
      </c>
      <c r="F26" s="4" t="s">
        <v>590</v>
      </c>
      <c r="G26" s="4" t="s">
        <v>51</v>
      </c>
      <c r="H26" s="4" t="s">
        <v>591</v>
      </c>
      <c r="I26" s="25" t="s">
        <v>592</v>
      </c>
      <c r="J26" s="1" t="s">
        <v>27</v>
      </c>
      <c r="K26" s="4">
        <v>9635701999</v>
      </c>
      <c r="L26" s="2" t="s">
        <v>327</v>
      </c>
      <c r="M26" s="1" t="s">
        <v>328</v>
      </c>
      <c r="N26" s="1">
        <v>374</v>
      </c>
      <c r="O26" s="1">
        <v>36</v>
      </c>
      <c r="P26" s="9">
        <f t="shared" ref="P26:P45" si="9">N26*O26</f>
        <v>13464</v>
      </c>
      <c r="Q26" s="9">
        <v>3500</v>
      </c>
      <c r="R26" s="9">
        <f t="shared" ref="R26:R45" si="10">P26-Q26</f>
        <v>9964</v>
      </c>
      <c r="S26" s="9">
        <f t="shared" ref="S26:S45" si="11">ROUND(R26*1%,0)</f>
        <v>100</v>
      </c>
      <c r="T26" s="17">
        <f t="shared" ref="T26:T45" si="12">R26-S26</f>
        <v>9864</v>
      </c>
      <c r="U26" s="2" t="s">
        <v>473</v>
      </c>
    </row>
    <row r="27" spans="1:21" x14ac:dyDescent="0.25">
      <c r="A27" s="1">
        <f t="shared" si="3"/>
        <v>26</v>
      </c>
      <c r="B27" s="1">
        <v>409</v>
      </c>
      <c r="C27" s="1" t="s">
        <v>467</v>
      </c>
      <c r="D27" s="2" t="s">
        <v>593</v>
      </c>
      <c r="E27" s="23" t="s">
        <v>594</v>
      </c>
      <c r="F27" s="4" t="s">
        <v>595</v>
      </c>
      <c r="G27" s="4" t="s">
        <v>51</v>
      </c>
      <c r="H27" s="4" t="s">
        <v>596</v>
      </c>
      <c r="I27" s="25" t="s">
        <v>597</v>
      </c>
      <c r="J27" s="1" t="s">
        <v>27</v>
      </c>
      <c r="K27" s="4">
        <v>6295601613</v>
      </c>
      <c r="L27" s="2" t="s">
        <v>327</v>
      </c>
      <c r="M27" s="1" t="s">
        <v>328</v>
      </c>
      <c r="N27" s="1">
        <v>45</v>
      </c>
      <c r="O27" s="1">
        <v>36</v>
      </c>
      <c r="P27" s="9">
        <f t="shared" si="9"/>
        <v>1620</v>
      </c>
      <c r="Q27" s="9">
        <v>500</v>
      </c>
      <c r="R27" s="9">
        <f t="shared" si="10"/>
        <v>1120</v>
      </c>
      <c r="S27" s="9">
        <f t="shared" si="11"/>
        <v>11</v>
      </c>
      <c r="T27" s="17">
        <f t="shared" si="12"/>
        <v>1109</v>
      </c>
      <c r="U27" s="2" t="s">
        <v>473</v>
      </c>
    </row>
    <row r="28" spans="1:21" x14ac:dyDescent="0.25">
      <c r="A28" s="1">
        <f t="shared" si="3"/>
        <v>27</v>
      </c>
      <c r="B28" s="1">
        <v>410</v>
      </c>
      <c r="C28" s="1" t="s">
        <v>467</v>
      </c>
      <c r="D28" s="2" t="s">
        <v>598</v>
      </c>
      <c r="E28" s="23" t="s">
        <v>599</v>
      </c>
      <c r="F28" s="4" t="s">
        <v>600</v>
      </c>
      <c r="G28" s="4" t="s">
        <v>51</v>
      </c>
      <c r="H28" s="4" t="s">
        <v>601</v>
      </c>
      <c r="I28" s="25" t="s">
        <v>602</v>
      </c>
      <c r="J28" s="1" t="s">
        <v>27</v>
      </c>
      <c r="K28" s="4">
        <v>6297447682</v>
      </c>
      <c r="L28" s="2" t="s">
        <v>327</v>
      </c>
      <c r="M28" s="1" t="s">
        <v>328</v>
      </c>
      <c r="N28" s="1">
        <v>24</v>
      </c>
      <c r="O28" s="1">
        <v>36</v>
      </c>
      <c r="P28" s="9">
        <f t="shared" si="9"/>
        <v>864</v>
      </c>
      <c r="Q28" s="9">
        <v>500</v>
      </c>
      <c r="R28" s="9">
        <f t="shared" si="10"/>
        <v>364</v>
      </c>
      <c r="S28" s="9">
        <f t="shared" si="11"/>
        <v>4</v>
      </c>
      <c r="T28" s="17">
        <f t="shared" si="12"/>
        <v>360</v>
      </c>
      <c r="U28" s="2" t="s">
        <v>473</v>
      </c>
    </row>
    <row r="29" spans="1:21" x14ac:dyDescent="0.25">
      <c r="A29" s="1">
        <f t="shared" si="3"/>
        <v>28</v>
      </c>
      <c r="B29" s="1">
        <v>414</v>
      </c>
      <c r="C29" s="1" t="s">
        <v>467</v>
      </c>
      <c r="D29" s="2" t="s">
        <v>603</v>
      </c>
      <c r="E29" s="23" t="s">
        <v>604</v>
      </c>
      <c r="F29" s="4" t="s">
        <v>353</v>
      </c>
      <c r="G29" s="4" t="s">
        <v>51</v>
      </c>
      <c r="H29" s="4" t="s">
        <v>605</v>
      </c>
      <c r="I29" s="25" t="s">
        <v>606</v>
      </c>
      <c r="J29" s="1" t="s">
        <v>27</v>
      </c>
      <c r="K29" s="4">
        <v>8999625167</v>
      </c>
      <c r="L29" s="2" t="s">
        <v>345</v>
      </c>
      <c r="M29" s="1" t="s">
        <v>328</v>
      </c>
      <c r="N29" s="1">
        <v>58</v>
      </c>
      <c r="O29" s="1">
        <v>36</v>
      </c>
      <c r="P29" s="9">
        <f t="shared" si="9"/>
        <v>2088</v>
      </c>
      <c r="Q29" s="9">
        <v>1500</v>
      </c>
      <c r="R29" s="9">
        <f t="shared" si="10"/>
        <v>588</v>
      </c>
      <c r="S29" s="9">
        <f t="shared" si="11"/>
        <v>6</v>
      </c>
      <c r="T29" s="17">
        <f t="shared" si="12"/>
        <v>582</v>
      </c>
      <c r="U29" s="2" t="s">
        <v>473</v>
      </c>
    </row>
    <row r="30" spans="1:21" x14ac:dyDescent="0.25">
      <c r="A30" s="1">
        <f t="shared" si="3"/>
        <v>29</v>
      </c>
      <c r="B30" s="1">
        <v>420</v>
      </c>
      <c r="C30" s="1" t="s">
        <v>467</v>
      </c>
      <c r="D30" s="2" t="s">
        <v>607</v>
      </c>
      <c r="E30" s="23" t="s">
        <v>608</v>
      </c>
      <c r="F30" s="4" t="s">
        <v>353</v>
      </c>
      <c r="G30" s="4" t="s">
        <v>51</v>
      </c>
      <c r="H30" s="4" t="s">
        <v>609</v>
      </c>
      <c r="I30" s="25" t="s">
        <v>610</v>
      </c>
      <c r="J30" s="1" t="s">
        <v>27</v>
      </c>
      <c r="K30" s="4">
        <v>6296016482</v>
      </c>
      <c r="L30" s="2" t="s">
        <v>345</v>
      </c>
      <c r="M30" s="1" t="s">
        <v>328</v>
      </c>
      <c r="N30" s="1">
        <v>59</v>
      </c>
      <c r="O30" s="1">
        <v>36</v>
      </c>
      <c r="P30" s="9">
        <f t="shared" si="9"/>
        <v>2124</v>
      </c>
      <c r="Q30" s="9">
        <v>500</v>
      </c>
      <c r="R30" s="9">
        <f t="shared" si="10"/>
        <v>1624</v>
      </c>
      <c r="S30" s="9">
        <f t="shared" si="11"/>
        <v>16</v>
      </c>
      <c r="T30" s="17">
        <f t="shared" si="12"/>
        <v>1608</v>
      </c>
      <c r="U30" s="2" t="s">
        <v>473</v>
      </c>
    </row>
    <row r="31" spans="1:21" x14ac:dyDescent="0.25">
      <c r="A31" s="1">
        <f t="shared" si="3"/>
        <v>30</v>
      </c>
      <c r="B31" s="1">
        <v>461</v>
      </c>
      <c r="C31" s="1" t="s">
        <v>467</v>
      </c>
      <c r="D31" s="2" t="s">
        <v>611</v>
      </c>
      <c r="E31" s="23" t="s">
        <v>612</v>
      </c>
      <c r="F31" s="4" t="s">
        <v>613</v>
      </c>
      <c r="G31" s="4" t="s">
        <v>45</v>
      </c>
      <c r="H31" s="4" t="s">
        <v>614</v>
      </c>
      <c r="I31" s="25" t="s">
        <v>615</v>
      </c>
      <c r="J31" s="1" t="s">
        <v>27</v>
      </c>
      <c r="K31" s="4">
        <v>8100154173</v>
      </c>
      <c r="L31" s="2" t="s">
        <v>361</v>
      </c>
      <c r="M31" s="1" t="s">
        <v>328</v>
      </c>
      <c r="N31" s="1">
        <v>194</v>
      </c>
      <c r="O31" s="1">
        <v>36</v>
      </c>
      <c r="P31" s="9">
        <f t="shared" si="9"/>
        <v>6984</v>
      </c>
      <c r="Q31" s="9">
        <v>3000</v>
      </c>
      <c r="R31" s="9">
        <f t="shared" si="10"/>
        <v>3984</v>
      </c>
      <c r="S31" s="9">
        <f t="shared" si="11"/>
        <v>40</v>
      </c>
      <c r="T31" s="17">
        <f t="shared" si="12"/>
        <v>3944</v>
      </c>
      <c r="U31" s="2" t="s">
        <v>473</v>
      </c>
    </row>
    <row r="32" spans="1:21" x14ac:dyDescent="0.25">
      <c r="A32" s="1">
        <f t="shared" si="3"/>
        <v>31</v>
      </c>
      <c r="B32" s="1">
        <v>462</v>
      </c>
      <c r="C32" s="1" t="s">
        <v>467</v>
      </c>
      <c r="D32" s="2" t="s">
        <v>616</v>
      </c>
      <c r="E32" s="23" t="s">
        <v>617</v>
      </c>
      <c r="F32" s="4" t="s">
        <v>618</v>
      </c>
      <c r="G32" s="4" t="s">
        <v>51</v>
      </c>
      <c r="H32" s="4" t="s">
        <v>619</v>
      </c>
      <c r="I32" s="25" t="s">
        <v>620</v>
      </c>
      <c r="J32" s="1" t="s">
        <v>27</v>
      </c>
      <c r="K32" s="4">
        <v>8961300575</v>
      </c>
      <c r="L32" s="2" t="s">
        <v>361</v>
      </c>
      <c r="M32" s="1" t="s">
        <v>328</v>
      </c>
      <c r="N32" s="1">
        <v>208</v>
      </c>
      <c r="O32" s="1">
        <v>36</v>
      </c>
      <c r="P32" s="9">
        <f t="shared" si="9"/>
        <v>7488</v>
      </c>
      <c r="Q32" s="9">
        <v>3000</v>
      </c>
      <c r="R32" s="9">
        <f t="shared" si="10"/>
        <v>4488</v>
      </c>
      <c r="S32" s="9">
        <f t="shared" si="11"/>
        <v>45</v>
      </c>
      <c r="T32" s="17">
        <f t="shared" si="12"/>
        <v>4443</v>
      </c>
      <c r="U32" s="2" t="s">
        <v>473</v>
      </c>
    </row>
    <row r="33" spans="1:21" x14ac:dyDescent="0.25">
      <c r="A33" s="1">
        <f t="shared" si="3"/>
        <v>32</v>
      </c>
      <c r="B33" s="1">
        <v>467</v>
      </c>
      <c r="C33" s="1" t="s">
        <v>467</v>
      </c>
      <c r="D33" s="2" t="s">
        <v>621</v>
      </c>
      <c r="E33" s="23" t="s">
        <v>622</v>
      </c>
      <c r="F33" s="4" t="s">
        <v>623</v>
      </c>
      <c r="G33" s="4" t="s">
        <v>39</v>
      </c>
      <c r="H33" s="4" t="s">
        <v>624</v>
      </c>
      <c r="I33" s="25" t="s">
        <v>625</v>
      </c>
      <c r="J33" s="1" t="s">
        <v>27</v>
      </c>
      <c r="K33" s="4">
        <v>9134634779</v>
      </c>
      <c r="L33" s="2" t="s">
        <v>361</v>
      </c>
      <c r="M33" s="1" t="s">
        <v>328</v>
      </c>
      <c r="N33" s="1">
        <v>28</v>
      </c>
      <c r="O33" s="1">
        <v>36</v>
      </c>
      <c r="P33" s="9">
        <f t="shared" si="9"/>
        <v>1008</v>
      </c>
      <c r="Q33" s="9">
        <v>0</v>
      </c>
      <c r="R33" s="9">
        <f t="shared" si="10"/>
        <v>1008</v>
      </c>
      <c r="S33" s="9">
        <f t="shared" si="11"/>
        <v>10</v>
      </c>
      <c r="T33" s="17">
        <f t="shared" si="12"/>
        <v>998</v>
      </c>
      <c r="U33" s="2" t="s">
        <v>473</v>
      </c>
    </row>
    <row r="34" spans="1:21" x14ac:dyDescent="0.25">
      <c r="A34" s="1">
        <f t="shared" si="3"/>
        <v>33</v>
      </c>
      <c r="B34" s="1">
        <v>470</v>
      </c>
      <c r="C34" s="1" t="s">
        <v>467</v>
      </c>
      <c r="D34" s="2" t="s">
        <v>626</v>
      </c>
      <c r="E34" s="23" t="s">
        <v>627</v>
      </c>
      <c r="F34" s="4" t="s">
        <v>628</v>
      </c>
      <c r="G34" s="4" t="s">
        <v>376</v>
      </c>
      <c r="H34" s="4" t="s">
        <v>629</v>
      </c>
      <c r="I34" s="25" t="s">
        <v>630</v>
      </c>
      <c r="J34" s="1" t="s">
        <v>27</v>
      </c>
      <c r="K34" s="4">
        <v>7001717698</v>
      </c>
      <c r="L34" s="2" t="s">
        <v>631</v>
      </c>
      <c r="M34" s="1" t="s">
        <v>328</v>
      </c>
      <c r="N34" s="1">
        <v>16</v>
      </c>
      <c r="O34" s="1">
        <v>36</v>
      </c>
      <c r="P34" s="9">
        <f t="shared" si="9"/>
        <v>576</v>
      </c>
      <c r="Q34" s="9">
        <v>0</v>
      </c>
      <c r="R34" s="9">
        <f t="shared" si="10"/>
        <v>576</v>
      </c>
      <c r="S34" s="9">
        <f t="shared" si="11"/>
        <v>6</v>
      </c>
      <c r="T34" s="17">
        <f t="shared" si="12"/>
        <v>570</v>
      </c>
      <c r="U34" s="2" t="s">
        <v>473</v>
      </c>
    </row>
    <row r="35" spans="1:21" x14ac:dyDescent="0.25">
      <c r="A35" s="1">
        <f t="shared" si="3"/>
        <v>34</v>
      </c>
      <c r="B35" s="1">
        <v>471</v>
      </c>
      <c r="C35" s="1" t="s">
        <v>467</v>
      </c>
      <c r="D35" s="2" t="s">
        <v>632</v>
      </c>
      <c r="E35" s="23" t="s">
        <v>633</v>
      </c>
      <c r="F35" s="4" t="s">
        <v>634</v>
      </c>
      <c r="G35" s="4" t="s">
        <v>51</v>
      </c>
      <c r="H35" s="4" t="s">
        <v>635</v>
      </c>
      <c r="I35" s="25" t="s">
        <v>636</v>
      </c>
      <c r="J35" s="1" t="s">
        <v>27</v>
      </c>
      <c r="K35" s="4">
        <v>6290366196</v>
      </c>
      <c r="L35" s="2" t="s">
        <v>631</v>
      </c>
      <c r="M35" s="1" t="s">
        <v>328</v>
      </c>
      <c r="N35" s="1">
        <v>68</v>
      </c>
      <c r="O35" s="1">
        <v>36</v>
      </c>
      <c r="P35" s="9">
        <f t="shared" si="9"/>
        <v>2448</v>
      </c>
      <c r="Q35" s="9">
        <v>1000</v>
      </c>
      <c r="R35" s="9">
        <f t="shared" si="10"/>
        <v>1448</v>
      </c>
      <c r="S35" s="9">
        <f t="shared" si="11"/>
        <v>14</v>
      </c>
      <c r="T35" s="17">
        <f t="shared" si="12"/>
        <v>1434</v>
      </c>
      <c r="U35" s="2" t="s">
        <v>473</v>
      </c>
    </row>
    <row r="36" spans="1:21" x14ac:dyDescent="0.25">
      <c r="A36" s="1">
        <f t="shared" si="3"/>
        <v>35</v>
      </c>
      <c r="B36" s="1">
        <v>472</v>
      </c>
      <c r="C36" s="1" t="s">
        <v>467</v>
      </c>
      <c r="D36" s="2" t="s">
        <v>637</v>
      </c>
      <c r="E36" s="23" t="s">
        <v>638</v>
      </c>
      <c r="F36" s="4" t="s">
        <v>639</v>
      </c>
      <c r="G36" s="4" t="s">
        <v>45</v>
      </c>
      <c r="H36" s="4" t="s">
        <v>640</v>
      </c>
      <c r="I36" s="25" t="s">
        <v>641</v>
      </c>
      <c r="J36" s="1" t="s">
        <v>27</v>
      </c>
      <c r="K36" s="4">
        <v>7585924247</v>
      </c>
      <c r="L36" s="2" t="s">
        <v>631</v>
      </c>
      <c r="M36" s="1" t="s">
        <v>328</v>
      </c>
      <c r="N36" s="1">
        <v>65</v>
      </c>
      <c r="O36" s="1">
        <v>36</v>
      </c>
      <c r="P36" s="9">
        <f t="shared" si="9"/>
        <v>2340</v>
      </c>
      <c r="Q36" s="9">
        <v>1000</v>
      </c>
      <c r="R36" s="9">
        <f t="shared" si="10"/>
        <v>1340</v>
      </c>
      <c r="S36" s="9">
        <f t="shared" si="11"/>
        <v>13</v>
      </c>
      <c r="T36" s="17">
        <f t="shared" si="12"/>
        <v>1327</v>
      </c>
      <c r="U36" s="2" t="s">
        <v>473</v>
      </c>
    </row>
    <row r="37" spans="1:21" x14ac:dyDescent="0.25">
      <c r="A37" s="1">
        <f t="shared" si="3"/>
        <v>36</v>
      </c>
      <c r="B37" s="1">
        <v>473</v>
      </c>
      <c r="C37" s="1" t="s">
        <v>467</v>
      </c>
      <c r="D37" s="2" t="s">
        <v>642</v>
      </c>
      <c r="E37" s="23" t="s">
        <v>643</v>
      </c>
      <c r="F37" s="4" t="s">
        <v>644</v>
      </c>
      <c r="G37" s="4" t="s">
        <v>51</v>
      </c>
      <c r="H37" s="4" t="s">
        <v>645</v>
      </c>
      <c r="I37" s="25" t="s">
        <v>646</v>
      </c>
      <c r="J37" s="1" t="s">
        <v>27</v>
      </c>
      <c r="K37" s="4">
        <v>9083743861</v>
      </c>
      <c r="L37" s="2" t="s">
        <v>631</v>
      </c>
      <c r="M37" s="1" t="s">
        <v>328</v>
      </c>
      <c r="N37" s="1">
        <v>8</v>
      </c>
      <c r="O37" s="1">
        <v>36</v>
      </c>
      <c r="P37" s="9">
        <f t="shared" si="9"/>
        <v>288</v>
      </c>
      <c r="Q37" s="9">
        <v>0</v>
      </c>
      <c r="R37" s="9">
        <f t="shared" si="10"/>
        <v>288</v>
      </c>
      <c r="S37" s="9">
        <f t="shared" si="11"/>
        <v>3</v>
      </c>
      <c r="T37" s="17">
        <f t="shared" si="12"/>
        <v>285</v>
      </c>
      <c r="U37" s="2" t="s">
        <v>473</v>
      </c>
    </row>
    <row r="38" spans="1:21" x14ac:dyDescent="0.25">
      <c r="A38" s="1">
        <f t="shared" si="3"/>
        <v>37</v>
      </c>
      <c r="B38" s="1">
        <v>474</v>
      </c>
      <c r="C38" s="1" t="s">
        <v>467</v>
      </c>
      <c r="D38" s="2" t="s">
        <v>647</v>
      </c>
      <c r="E38" s="23" t="s">
        <v>648</v>
      </c>
      <c r="F38" s="4" t="s">
        <v>649</v>
      </c>
      <c r="G38" s="4" t="s">
        <v>650</v>
      </c>
      <c r="H38" s="4" t="s">
        <v>651</v>
      </c>
      <c r="I38" s="25" t="s">
        <v>652</v>
      </c>
      <c r="J38" s="1" t="s">
        <v>27</v>
      </c>
      <c r="K38" s="4">
        <v>7608966650</v>
      </c>
      <c r="L38" s="2" t="s">
        <v>631</v>
      </c>
      <c r="M38" s="1" t="s">
        <v>328</v>
      </c>
      <c r="N38" s="1">
        <v>20</v>
      </c>
      <c r="O38" s="1">
        <v>36</v>
      </c>
      <c r="P38" s="9">
        <f t="shared" si="9"/>
        <v>720</v>
      </c>
      <c r="Q38" s="9">
        <v>0</v>
      </c>
      <c r="R38" s="9">
        <f t="shared" si="10"/>
        <v>720</v>
      </c>
      <c r="S38" s="9">
        <f t="shared" si="11"/>
        <v>7</v>
      </c>
      <c r="T38" s="17">
        <f t="shared" si="12"/>
        <v>713</v>
      </c>
      <c r="U38" s="2" t="s">
        <v>473</v>
      </c>
    </row>
    <row r="39" spans="1:21" x14ac:dyDescent="0.25">
      <c r="A39" s="1">
        <f t="shared" si="3"/>
        <v>38</v>
      </c>
      <c r="B39" s="1">
        <v>476</v>
      </c>
      <c r="C39" s="1" t="s">
        <v>467</v>
      </c>
      <c r="D39" s="2" t="s">
        <v>653</v>
      </c>
      <c r="E39" s="23" t="s">
        <v>654</v>
      </c>
      <c r="F39" s="4" t="s">
        <v>634</v>
      </c>
      <c r="G39" s="4" t="s">
        <v>51</v>
      </c>
      <c r="H39" s="4" t="s">
        <v>655</v>
      </c>
      <c r="I39" s="25" t="s">
        <v>656</v>
      </c>
      <c r="J39" s="1" t="s">
        <v>27</v>
      </c>
      <c r="K39" s="4">
        <v>9883284101</v>
      </c>
      <c r="L39" s="2" t="s">
        <v>631</v>
      </c>
      <c r="M39" s="1" t="s">
        <v>328</v>
      </c>
      <c r="N39" s="1">
        <v>63</v>
      </c>
      <c r="O39" s="1">
        <v>36</v>
      </c>
      <c r="P39" s="9">
        <f t="shared" si="9"/>
        <v>2268</v>
      </c>
      <c r="Q39" s="9">
        <v>1000</v>
      </c>
      <c r="R39" s="9">
        <f t="shared" si="10"/>
        <v>1268</v>
      </c>
      <c r="S39" s="9">
        <f t="shared" si="11"/>
        <v>13</v>
      </c>
      <c r="T39" s="17">
        <f t="shared" si="12"/>
        <v>1255</v>
      </c>
      <c r="U39" s="2" t="s">
        <v>473</v>
      </c>
    </row>
    <row r="40" spans="1:21" x14ac:dyDescent="0.25">
      <c r="A40" s="1">
        <f t="shared" si="3"/>
        <v>39</v>
      </c>
      <c r="B40" s="1">
        <v>478</v>
      </c>
      <c r="C40" s="1" t="s">
        <v>467</v>
      </c>
      <c r="D40" s="2" t="s">
        <v>657</v>
      </c>
      <c r="E40" s="23" t="s">
        <v>658</v>
      </c>
      <c r="F40" s="4" t="s">
        <v>659</v>
      </c>
      <c r="G40" s="4" t="s">
        <v>24</v>
      </c>
      <c r="H40" s="4" t="s">
        <v>660</v>
      </c>
      <c r="I40" s="25" t="s">
        <v>661</v>
      </c>
      <c r="J40" s="1" t="s">
        <v>27</v>
      </c>
      <c r="K40" s="4">
        <v>7719343605</v>
      </c>
      <c r="L40" s="2" t="s">
        <v>631</v>
      </c>
      <c r="M40" s="1" t="s">
        <v>328</v>
      </c>
      <c r="N40" s="1">
        <v>21</v>
      </c>
      <c r="O40" s="1">
        <v>36</v>
      </c>
      <c r="P40" s="9">
        <f t="shared" si="9"/>
        <v>756</v>
      </c>
      <c r="Q40" s="9">
        <v>500</v>
      </c>
      <c r="R40" s="9">
        <f t="shared" si="10"/>
        <v>256</v>
      </c>
      <c r="S40" s="9">
        <f t="shared" si="11"/>
        <v>3</v>
      </c>
      <c r="T40" s="17">
        <f t="shared" si="12"/>
        <v>253</v>
      </c>
      <c r="U40" s="2" t="s">
        <v>473</v>
      </c>
    </row>
    <row r="41" spans="1:21" x14ac:dyDescent="0.25">
      <c r="A41" s="1">
        <f t="shared" si="3"/>
        <v>40</v>
      </c>
      <c r="B41" s="1">
        <v>479</v>
      </c>
      <c r="C41" s="1" t="s">
        <v>467</v>
      </c>
      <c r="D41" s="2" t="s">
        <v>662</v>
      </c>
      <c r="E41" s="23" t="s">
        <v>663</v>
      </c>
      <c r="F41" s="4" t="s">
        <v>664</v>
      </c>
      <c r="G41" s="4" t="s">
        <v>376</v>
      </c>
      <c r="H41" s="4" t="s">
        <v>665</v>
      </c>
      <c r="I41" s="25" t="s">
        <v>666</v>
      </c>
      <c r="J41" s="1" t="s">
        <v>27</v>
      </c>
      <c r="K41" s="4">
        <v>9800570986</v>
      </c>
      <c r="L41" s="2" t="s">
        <v>631</v>
      </c>
      <c r="M41" s="1" t="s">
        <v>328</v>
      </c>
      <c r="N41" s="1">
        <v>24</v>
      </c>
      <c r="O41" s="1">
        <v>36</v>
      </c>
      <c r="P41" s="9">
        <f t="shared" si="9"/>
        <v>864</v>
      </c>
      <c r="Q41" s="9">
        <v>500</v>
      </c>
      <c r="R41" s="9">
        <f t="shared" si="10"/>
        <v>364</v>
      </c>
      <c r="S41" s="9">
        <f t="shared" si="11"/>
        <v>4</v>
      </c>
      <c r="T41" s="17">
        <f t="shared" si="12"/>
        <v>360</v>
      </c>
      <c r="U41" s="2" t="s">
        <v>473</v>
      </c>
    </row>
    <row r="42" spans="1:21" x14ac:dyDescent="0.25">
      <c r="A42" s="1">
        <f t="shared" si="3"/>
        <v>41</v>
      </c>
      <c r="B42" s="1">
        <v>482</v>
      </c>
      <c r="C42" s="1" t="s">
        <v>467</v>
      </c>
      <c r="D42" s="2" t="s">
        <v>667</v>
      </c>
      <c r="E42" s="25" t="s">
        <v>668</v>
      </c>
      <c r="F42" s="4" t="s">
        <v>669</v>
      </c>
      <c r="G42" s="4" t="s">
        <v>24</v>
      </c>
      <c r="H42" s="4" t="s">
        <v>670</v>
      </c>
      <c r="I42" s="25" t="s">
        <v>671</v>
      </c>
      <c r="J42" s="1" t="s">
        <v>27</v>
      </c>
      <c r="K42" s="4">
        <v>8972377982</v>
      </c>
      <c r="L42" s="2" t="s">
        <v>631</v>
      </c>
      <c r="M42" s="1" t="s">
        <v>328</v>
      </c>
      <c r="N42" s="1">
        <v>10</v>
      </c>
      <c r="O42" s="1">
        <v>36</v>
      </c>
      <c r="P42" s="9">
        <f t="shared" si="9"/>
        <v>360</v>
      </c>
      <c r="Q42" s="9">
        <v>0</v>
      </c>
      <c r="R42" s="9">
        <f t="shared" si="10"/>
        <v>360</v>
      </c>
      <c r="S42" s="9">
        <f t="shared" si="11"/>
        <v>4</v>
      </c>
      <c r="T42" s="17">
        <f t="shared" si="12"/>
        <v>356</v>
      </c>
      <c r="U42" s="2" t="s">
        <v>473</v>
      </c>
    </row>
    <row r="43" spans="1:21" x14ac:dyDescent="0.25">
      <c r="A43" s="1">
        <f t="shared" si="3"/>
        <v>42</v>
      </c>
      <c r="B43" s="1">
        <v>504</v>
      </c>
      <c r="C43" s="1" t="s">
        <v>467</v>
      </c>
      <c r="D43" s="2" t="s">
        <v>672</v>
      </c>
      <c r="E43" s="23" t="s">
        <v>673</v>
      </c>
      <c r="F43" s="4" t="s">
        <v>674</v>
      </c>
      <c r="G43" s="4" t="s">
        <v>51</v>
      </c>
      <c r="H43" s="4" t="s">
        <v>675</v>
      </c>
      <c r="I43" s="25" t="s">
        <v>676</v>
      </c>
      <c r="J43" s="1" t="s">
        <v>27</v>
      </c>
      <c r="K43" s="4">
        <v>7811910580</v>
      </c>
      <c r="L43" s="2" t="s">
        <v>677</v>
      </c>
      <c r="M43" s="1" t="s">
        <v>410</v>
      </c>
      <c r="N43" s="1">
        <v>204</v>
      </c>
      <c r="O43" s="1">
        <v>36</v>
      </c>
      <c r="P43" s="9">
        <f t="shared" si="9"/>
        <v>7344</v>
      </c>
      <c r="Q43" s="9">
        <v>2000</v>
      </c>
      <c r="R43" s="9">
        <f t="shared" si="10"/>
        <v>5344</v>
      </c>
      <c r="S43" s="9">
        <f t="shared" si="11"/>
        <v>53</v>
      </c>
      <c r="T43" s="17">
        <f t="shared" si="12"/>
        <v>5291</v>
      </c>
      <c r="U43" s="2" t="s">
        <v>473</v>
      </c>
    </row>
    <row r="44" spans="1:21" x14ac:dyDescent="0.25">
      <c r="A44" s="1">
        <f t="shared" si="3"/>
        <v>43</v>
      </c>
      <c r="B44" s="1">
        <v>507</v>
      </c>
      <c r="C44" s="1" t="s">
        <v>467</v>
      </c>
      <c r="D44" s="2" t="s">
        <v>678</v>
      </c>
      <c r="E44" s="23" t="s">
        <v>679</v>
      </c>
      <c r="F44" s="4" t="s">
        <v>674</v>
      </c>
      <c r="G44" s="4" t="s">
        <v>51</v>
      </c>
      <c r="H44" s="4" t="s">
        <v>680</v>
      </c>
      <c r="I44" s="25" t="s">
        <v>681</v>
      </c>
      <c r="J44" s="1" t="s">
        <v>27</v>
      </c>
      <c r="K44" s="4">
        <v>9733331201</v>
      </c>
      <c r="L44" s="2" t="s">
        <v>677</v>
      </c>
      <c r="M44" s="1" t="s">
        <v>410</v>
      </c>
      <c r="N44" s="1">
        <v>122</v>
      </c>
      <c r="O44" s="1">
        <v>36</v>
      </c>
      <c r="P44" s="9">
        <f t="shared" si="9"/>
        <v>4392</v>
      </c>
      <c r="Q44" s="9">
        <v>2000</v>
      </c>
      <c r="R44" s="9">
        <f t="shared" si="10"/>
        <v>2392</v>
      </c>
      <c r="S44" s="9">
        <f t="shared" si="11"/>
        <v>24</v>
      </c>
      <c r="T44" s="17">
        <f t="shared" si="12"/>
        <v>2368</v>
      </c>
      <c r="U44" s="2" t="s">
        <v>473</v>
      </c>
    </row>
    <row r="45" spans="1:21" x14ac:dyDescent="0.25">
      <c r="A45" s="1">
        <f t="shared" si="3"/>
        <v>44</v>
      </c>
      <c r="B45" s="1">
        <v>519</v>
      </c>
      <c r="C45" s="1" t="s">
        <v>467</v>
      </c>
      <c r="D45" s="2" t="s">
        <v>682</v>
      </c>
      <c r="E45" s="23" t="s">
        <v>683</v>
      </c>
      <c r="F45" s="4" t="s">
        <v>684</v>
      </c>
      <c r="G45" s="4" t="s">
        <v>51</v>
      </c>
      <c r="H45" s="4" t="s">
        <v>685</v>
      </c>
      <c r="I45" s="25" t="s">
        <v>686</v>
      </c>
      <c r="J45" s="1" t="s">
        <v>27</v>
      </c>
      <c r="K45" s="4">
        <v>8116570289</v>
      </c>
      <c r="L45" s="2" t="s">
        <v>420</v>
      </c>
      <c r="M45" s="1" t="s">
        <v>410</v>
      </c>
      <c r="N45" s="1">
        <v>79</v>
      </c>
      <c r="O45" s="1">
        <v>36</v>
      </c>
      <c r="P45" s="9">
        <f t="shared" si="9"/>
        <v>2844</v>
      </c>
      <c r="Q45" s="9">
        <v>0</v>
      </c>
      <c r="R45" s="9">
        <f t="shared" si="10"/>
        <v>2844</v>
      </c>
      <c r="S45" s="9">
        <f t="shared" si="11"/>
        <v>28</v>
      </c>
      <c r="T45" s="17">
        <f t="shared" si="12"/>
        <v>2816</v>
      </c>
      <c r="U45" s="2" t="s">
        <v>473</v>
      </c>
    </row>
    <row r="46" spans="1:21" x14ac:dyDescent="0.25">
      <c r="A46" s="105" t="s">
        <v>441</v>
      </c>
      <c r="B46" s="106"/>
      <c r="C46" s="106"/>
      <c r="D46" s="106"/>
      <c r="E46" s="106"/>
      <c r="F46" s="106"/>
      <c r="G46" s="106"/>
      <c r="H46" s="106"/>
      <c r="I46" s="106"/>
      <c r="J46" s="107"/>
      <c r="K46" s="15"/>
      <c r="L46" s="15"/>
      <c r="M46" s="15"/>
      <c r="N46" s="19">
        <f>SUBTOTAL(9,N2:N45)</f>
        <v>4577</v>
      </c>
      <c r="O46" s="19">
        <f t="shared" ref="O46:T46" si="13">SUBTOTAL(9,O2:O45)</f>
        <v>1584</v>
      </c>
      <c r="P46" s="19">
        <f t="shared" si="13"/>
        <v>164772</v>
      </c>
      <c r="Q46" s="19">
        <f t="shared" si="13"/>
        <v>36850</v>
      </c>
      <c r="R46" s="19">
        <f t="shared" si="13"/>
        <v>127922</v>
      </c>
      <c r="S46" s="19">
        <f t="shared" si="13"/>
        <v>1278</v>
      </c>
      <c r="T46" s="19">
        <f t="shared" si="13"/>
        <v>126644</v>
      </c>
      <c r="U46" s="35"/>
    </row>
    <row r="48" spans="1:21" s="71" customFormat="1" ht="25" x14ac:dyDescent="0.35">
      <c r="A48" s="26" t="s">
        <v>0</v>
      </c>
      <c r="B48" s="26" t="s">
        <v>442</v>
      </c>
      <c r="C48" s="26" t="s">
        <v>2</v>
      </c>
      <c r="D48" s="68" t="s">
        <v>11</v>
      </c>
      <c r="E48" s="27" t="s">
        <v>4</v>
      </c>
      <c r="F48" s="26" t="s">
        <v>5</v>
      </c>
      <c r="G48" s="26" t="s">
        <v>6</v>
      </c>
      <c r="H48" s="26" t="s">
        <v>7</v>
      </c>
      <c r="I48" s="26" t="s">
        <v>8</v>
      </c>
      <c r="J48" s="26" t="s">
        <v>9</v>
      </c>
      <c r="K48" s="68" t="s">
        <v>443</v>
      </c>
      <c r="L48" s="68" t="s">
        <v>444</v>
      </c>
      <c r="M48" s="69"/>
      <c r="N48" s="70" t="s">
        <v>445</v>
      </c>
      <c r="O48" s="26" t="s">
        <v>14</v>
      </c>
      <c r="P48" s="70" t="s">
        <v>15</v>
      </c>
      <c r="Q48" s="26" t="s">
        <v>16</v>
      </c>
      <c r="R48" s="70" t="s">
        <v>17</v>
      </c>
      <c r="S48" s="70" t="s">
        <v>446</v>
      </c>
      <c r="T48" s="70" t="s">
        <v>19</v>
      </c>
      <c r="U48" s="26" t="s">
        <v>466</v>
      </c>
    </row>
    <row r="49" spans="1:21" x14ac:dyDescent="0.25">
      <c r="A49" s="1">
        <v>1</v>
      </c>
      <c r="B49" s="4">
        <v>601</v>
      </c>
      <c r="C49" s="1" t="s">
        <v>467</v>
      </c>
      <c r="D49" s="4" t="s">
        <v>687</v>
      </c>
      <c r="E49" s="23" t="s">
        <v>688</v>
      </c>
      <c r="F49" s="4" t="s">
        <v>689</v>
      </c>
      <c r="G49" s="4" t="s">
        <v>690</v>
      </c>
      <c r="H49" s="4" t="s">
        <v>691</v>
      </c>
      <c r="I49" s="1"/>
      <c r="J49" s="1" t="s">
        <v>27</v>
      </c>
      <c r="K49" s="4">
        <v>9832911719</v>
      </c>
      <c r="L49" s="2"/>
      <c r="M49" s="1"/>
      <c r="N49" s="9">
        <v>2716</v>
      </c>
      <c r="O49" s="1">
        <v>9</v>
      </c>
      <c r="P49" s="9">
        <v>24444</v>
      </c>
      <c r="Q49" s="9">
        <v>0</v>
      </c>
      <c r="R49" s="9">
        <v>24444</v>
      </c>
      <c r="S49" s="9">
        <v>244.44</v>
      </c>
      <c r="T49" s="9">
        <v>24199.56</v>
      </c>
      <c r="U49" s="2" t="s">
        <v>692</v>
      </c>
    </row>
    <row r="50" spans="1:21" x14ac:dyDescent="0.25">
      <c r="A50" s="1">
        <v>2</v>
      </c>
      <c r="B50" s="4">
        <v>604</v>
      </c>
      <c r="C50" s="1" t="s">
        <v>467</v>
      </c>
      <c r="D50" s="4" t="s">
        <v>111</v>
      </c>
      <c r="E50" s="23" t="s">
        <v>693</v>
      </c>
      <c r="F50" s="4" t="s">
        <v>108</v>
      </c>
      <c r="G50" s="4" t="s">
        <v>690</v>
      </c>
      <c r="H50" s="4" t="s">
        <v>694</v>
      </c>
      <c r="I50" s="1"/>
      <c r="J50" s="1" t="s">
        <v>27</v>
      </c>
      <c r="K50" s="4">
        <v>6294352125</v>
      </c>
      <c r="L50" s="2"/>
      <c r="M50" s="1"/>
      <c r="N50" s="9">
        <v>587</v>
      </c>
      <c r="O50" s="1">
        <v>9</v>
      </c>
      <c r="P50" s="9">
        <v>5283</v>
      </c>
      <c r="Q50" s="9">
        <v>3100</v>
      </c>
      <c r="R50" s="9">
        <v>2183</v>
      </c>
      <c r="S50" s="9">
        <v>21.830000000000002</v>
      </c>
      <c r="T50" s="9">
        <v>2161.17</v>
      </c>
      <c r="U50" s="2" t="s">
        <v>692</v>
      </c>
    </row>
    <row r="51" spans="1:21" x14ac:dyDescent="0.25">
      <c r="A51" s="1">
        <f t="shared" ref="A51:A56" si="14">A50+1</f>
        <v>3</v>
      </c>
      <c r="B51" s="4">
        <v>603</v>
      </c>
      <c r="C51" s="1" t="s">
        <v>467</v>
      </c>
      <c r="D51" s="4" t="s">
        <v>127</v>
      </c>
      <c r="E51" s="23" t="s">
        <v>695</v>
      </c>
      <c r="F51" s="4" t="s">
        <v>696</v>
      </c>
      <c r="G51" s="4" t="s">
        <v>697</v>
      </c>
      <c r="H51" s="4" t="s">
        <v>698</v>
      </c>
      <c r="I51" s="1"/>
      <c r="J51" s="1" t="s">
        <v>27</v>
      </c>
      <c r="K51" s="4">
        <v>7548082516</v>
      </c>
      <c r="L51" s="2"/>
      <c r="M51" s="1"/>
      <c r="N51" s="9">
        <v>572</v>
      </c>
      <c r="O51" s="1">
        <v>9</v>
      </c>
      <c r="P51" s="9">
        <v>5148</v>
      </c>
      <c r="Q51" s="9">
        <v>2060</v>
      </c>
      <c r="R51" s="9">
        <v>3088</v>
      </c>
      <c r="S51" s="9">
        <v>30.88</v>
      </c>
      <c r="T51" s="9">
        <v>3057.12</v>
      </c>
      <c r="U51" s="2" t="s">
        <v>692</v>
      </c>
    </row>
    <row r="52" spans="1:21" x14ac:dyDescent="0.25">
      <c r="A52" s="1">
        <f t="shared" si="14"/>
        <v>4</v>
      </c>
      <c r="B52" s="37">
        <v>649</v>
      </c>
      <c r="C52" s="1" t="s">
        <v>467</v>
      </c>
      <c r="D52" s="4" t="s">
        <v>631</v>
      </c>
      <c r="E52" s="47" t="s">
        <v>699</v>
      </c>
      <c r="F52" s="37" t="s">
        <v>664</v>
      </c>
      <c r="G52" s="37" t="s">
        <v>700</v>
      </c>
      <c r="H52" s="37" t="s">
        <v>701</v>
      </c>
      <c r="I52" s="39"/>
      <c r="J52" s="39" t="s">
        <v>27</v>
      </c>
      <c r="K52" s="37">
        <v>7029727206</v>
      </c>
      <c r="L52" s="2"/>
      <c r="M52" s="1"/>
      <c r="N52" s="9">
        <v>328</v>
      </c>
      <c r="O52" s="1">
        <v>9</v>
      </c>
      <c r="P52" s="9">
        <v>2952</v>
      </c>
      <c r="Q52" s="10">
        <v>500</v>
      </c>
      <c r="R52" s="10">
        <v>2452</v>
      </c>
      <c r="S52" s="10">
        <v>24.52</v>
      </c>
      <c r="T52" s="10">
        <v>2427.48</v>
      </c>
      <c r="U52" s="2" t="s">
        <v>692</v>
      </c>
    </row>
    <row r="53" spans="1:21" x14ac:dyDescent="0.25">
      <c r="A53" s="1">
        <f t="shared" si="14"/>
        <v>5</v>
      </c>
      <c r="B53" s="49">
        <v>625</v>
      </c>
      <c r="C53" s="1" t="s">
        <v>467</v>
      </c>
      <c r="D53" s="4" t="s">
        <v>702</v>
      </c>
      <c r="E53" s="50" t="s">
        <v>693</v>
      </c>
      <c r="F53" s="51" t="s">
        <v>108</v>
      </c>
      <c r="G53" s="51" t="s">
        <v>448</v>
      </c>
      <c r="H53" s="51" t="s">
        <v>694</v>
      </c>
      <c r="I53" s="52"/>
      <c r="J53" s="52" t="s">
        <v>27</v>
      </c>
      <c r="K53" s="51">
        <v>6294352125</v>
      </c>
      <c r="L53" s="2"/>
      <c r="M53" s="1"/>
      <c r="N53" s="9">
        <v>390</v>
      </c>
      <c r="O53" s="1">
        <v>9</v>
      </c>
      <c r="P53" s="9">
        <v>3510</v>
      </c>
      <c r="Q53" s="10">
        <v>500</v>
      </c>
      <c r="R53" s="10">
        <v>3010</v>
      </c>
      <c r="S53" s="10">
        <v>30.1</v>
      </c>
      <c r="T53" s="10">
        <v>2979.9</v>
      </c>
      <c r="U53" s="2" t="s">
        <v>692</v>
      </c>
    </row>
    <row r="54" spans="1:21" x14ac:dyDescent="0.25">
      <c r="A54" s="1">
        <f t="shared" si="14"/>
        <v>6</v>
      </c>
      <c r="B54" s="36">
        <v>632</v>
      </c>
      <c r="C54" s="1" t="s">
        <v>467</v>
      </c>
      <c r="D54" s="4" t="s">
        <v>587</v>
      </c>
      <c r="E54" s="67" t="s">
        <v>703</v>
      </c>
      <c r="F54" s="36" t="s">
        <v>704</v>
      </c>
      <c r="G54" s="4" t="s">
        <v>705</v>
      </c>
      <c r="H54" s="36" t="s">
        <v>706</v>
      </c>
      <c r="I54" s="40"/>
      <c r="J54" s="40" t="s">
        <v>27</v>
      </c>
      <c r="K54" s="36">
        <v>9735252007</v>
      </c>
      <c r="L54" s="2"/>
      <c r="M54" s="1"/>
      <c r="N54" s="9">
        <v>1363</v>
      </c>
      <c r="O54" s="1">
        <v>9</v>
      </c>
      <c r="P54" s="9">
        <v>12267</v>
      </c>
      <c r="Q54" s="10">
        <v>5800</v>
      </c>
      <c r="R54" s="10">
        <v>6467</v>
      </c>
      <c r="S54" s="10">
        <v>64.67</v>
      </c>
      <c r="T54" s="10">
        <v>6402.33</v>
      </c>
      <c r="U54" s="2" t="s">
        <v>692</v>
      </c>
    </row>
    <row r="55" spans="1:21" x14ac:dyDescent="0.25">
      <c r="A55" s="1">
        <f t="shared" si="14"/>
        <v>7</v>
      </c>
      <c r="B55" s="36">
        <v>631</v>
      </c>
      <c r="C55" s="1" t="s">
        <v>467</v>
      </c>
      <c r="D55" s="4" t="s">
        <v>246</v>
      </c>
      <c r="E55" s="67" t="s">
        <v>707</v>
      </c>
      <c r="F55" s="36" t="s">
        <v>135</v>
      </c>
      <c r="G55" s="36" t="s">
        <v>708</v>
      </c>
      <c r="H55" s="36" t="s">
        <v>709</v>
      </c>
      <c r="I55" s="40"/>
      <c r="J55" s="40" t="s">
        <v>27</v>
      </c>
      <c r="K55" s="36">
        <v>9733951886</v>
      </c>
      <c r="L55" s="2"/>
      <c r="M55" s="1"/>
      <c r="N55" s="9">
        <v>2886</v>
      </c>
      <c r="O55" s="1">
        <v>9</v>
      </c>
      <c r="P55" s="9">
        <v>25974</v>
      </c>
      <c r="Q55" s="10">
        <v>4850</v>
      </c>
      <c r="R55" s="10">
        <v>21124</v>
      </c>
      <c r="S55" s="10">
        <v>211.24</v>
      </c>
      <c r="T55" s="10">
        <v>20912.759999999998</v>
      </c>
      <c r="U55" s="2" t="s">
        <v>692</v>
      </c>
    </row>
    <row r="56" spans="1:21" x14ac:dyDescent="0.25">
      <c r="A56" s="1">
        <f t="shared" si="14"/>
        <v>8</v>
      </c>
      <c r="B56" s="4">
        <v>633</v>
      </c>
      <c r="C56" s="1" t="s">
        <v>467</v>
      </c>
      <c r="D56" s="4" t="s">
        <v>233</v>
      </c>
      <c r="E56" s="23" t="s">
        <v>710</v>
      </c>
      <c r="F56" s="4" t="s">
        <v>711</v>
      </c>
      <c r="G56" s="4" t="s">
        <v>705</v>
      </c>
      <c r="H56" s="4" t="s">
        <v>712</v>
      </c>
      <c r="I56" s="1"/>
      <c r="J56" s="1" t="s">
        <v>27</v>
      </c>
      <c r="K56" s="4">
        <v>7076622184</v>
      </c>
      <c r="L56" s="2"/>
      <c r="M56" s="1"/>
      <c r="N56" s="9">
        <v>123</v>
      </c>
      <c r="O56" s="1">
        <v>9</v>
      </c>
      <c r="P56" s="9">
        <v>1107</v>
      </c>
      <c r="Q56" s="9">
        <v>0</v>
      </c>
      <c r="R56" s="9">
        <v>1107</v>
      </c>
      <c r="S56" s="9">
        <v>11.07</v>
      </c>
      <c r="T56" s="9">
        <v>1095.93</v>
      </c>
      <c r="U56" s="2" t="s">
        <v>692</v>
      </c>
    </row>
    <row r="57" spans="1:21" x14ac:dyDescent="0.25">
      <c r="A57" s="104" t="s">
        <v>441</v>
      </c>
      <c r="B57" s="104"/>
      <c r="C57" s="104"/>
      <c r="D57" s="104"/>
      <c r="E57" s="104"/>
      <c r="F57" s="104"/>
      <c r="G57" s="104"/>
      <c r="H57" s="104"/>
      <c r="I57" s="104"/>
      <c r="J57" s="104"/>
      <c r="K57" s="54"/>
      <c r="L57" s="15"/>
      <c r="M57" s="18"/>
      <c r="N57" s="55">
        <f>SUM(N49:N56)</f>
        <v>8965</v>
      </c>
      <c r="O57" s="55">
        <f t="shared" ref="O57:T57" si="15">SUM(O49:O56)</f>
        <v>72</v>
      </c>
      <c r="P57" s="55">
        <f t="shared" si="15"/>
        <v>80685</v>
      </c>
      <c r="Q57" s="55">
        <f t="shared" si="15"/>
        <v>16810</v>
      </c>
      <c r="R57" s="55">
        <f t="shared" si="15"/>
        <v>63875</v>
      </c>
      <c r="S57" s="55">
        <f t="shared" si="15"/>
        <v>638.75000000000011</v>
      </c>
      <c r="T57" s="55">
        <f t="shared" si="15"/>
        <v>63236.250000000007</v>
      </c>
      <c r="U57" s="2"/>
    </row>
    <row r="59" spans="1:21" x14ac:dyDescent="0.25">
      <c r="A59" s="104" t="s">
        <v>441</v>
      </c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8"/>
      <c r="P59" s="22">
        <f>P57+P46</f>
        <v>245457</v>
      </c>
      <c r="Q59" s="22">
        <f>Q57+Q46</f>
        <v>53660</v>
      </c>
      <c r="R59" s="22">
        <f>R57+R46</f>
        <v>191797</v>
      </c>
      <c r="S59" s="22">
        <f>S57+S46</f>
        <v>1916.75</v>
      </c>
      <c r="T59" s="22">
        <f>T57+T46</f>
        <v>189880.25</v>
      </c>
      <c r="U59" s="15"/>
    </row>
  </sheetData>
  <mergeCells count="3">
    <mergeCell ref="A46:J46"/>
    <mergeCell ref="A57:J57"/>
    <mergeCell ref="A59:N59"/>
  </mergeCells>
  <conditionalFormatting sqref="H48">
    <cfRule type="duplicateValues" dxfId="7" priority="2"/>
    <cfRule type="duplicateValues" dxfId="6" priority="3"/>
  </conditionalFormatting>
  <conditionalFormatting sqref="H49:H56">
    <cfRule type="duplicateValues" dxfId="5" priority="6"/>
  </conditionalFormatting>
  <conditionalFormatting sqref="H60:H1048576 D1:D45 H1:H45 H47 D47 D58 H58 D60:D1048576">
    <cfRule type="duplicateValues" dxfId="4" priority="4"/>
  </conditionalFormatting>
  <conditionalFormatting sqref="H60:H1048576 H1:H45 H47 H58">
    <cfRule type="duplicateValues" dxfId="3" priority="5"/>
  </conditionalFormatting>
  <hyperlinks>
    <hyperlink ref="F12" r:id="rId1" display="https://ifsc.bankifsccode.com/IDIB000S775" xr:uid="{CC81F454-9015-4AFC-9382-3540890D3EDB}"/>
  </hyperlinks>
  <pageMargins left="0.25" right="0.25" top="0.67" bottom="0.47" header="0.3" footer="0.3"/>
  <pageSetup paperSize="9" scale="75" fitToHeight="0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969B-6FC3-4ED6-977C-EF02E4C72E43}">
  <sheetPr>
    <pageSetUpPr fitToPage="1"/>
  </sheetPr>
  <dimension ref="A1:W201"/>
  <sheetViews>
    <sheetView tabSelected="1" zoomScaleNormal="100" workbookViewId="0">
      <pane xSplit="4" ySplit="1" topLeftCell="E2" activePane="bottomRight" state="frozen"/>
      <selection pane="topRight" activeCell="C8" sqref="C8"/>
      <selection pane="bottomLeft" activeCell="C8" sqref="C8"/>
      <selection pane="bottomRight" activeCell="U5" sqref="U5"/>
    </sheetView>
  </sheetViews>
  <sheetFormatPr defaultColWidth="9.1796875" defaultRowHeight="12.5" x14ac:dyDescent="0.25"/>
  <cols>
    <col min="1" max="1" width="6.7265625" style="16" bestFit="1" customWidth="1"/>
    <col min="2" max="2" width="6.453125" style="16" bestFit="1" customWidth="1"/>
    <col min="3" max="3" width="7.7265625" style="16" bestFit="1" customWidth="1"/>
    <col min="4" max="4" width="22.453125" style="14" bestFit="1" customWidth="1"/>
    <col min="5" max="5" width="17.26953125" style="20" bestFit="1" customWidth="1"/>
    <col min="6" max="6" width="13.54296875" style="21" bestFit="1" customWidth="1"/>
    <col min="7" max="7" width="24" style="21" bestFit="1" customWidth="1"/>
    <col min="8" max="8" width="13.26953125" style="21" bestFit="1" customWidth="1"/>
    <col min="9" max="9" width="13.1796875" style="21" bestFit="1" customWidth="1"/>
    <col min="10" max="10" width="6.1796875" style="16" bestFit="1" customWidth="1"/>
    <col min="11" max="11" width="12" style="21" bestFit="1" customWidth="1"/>
    <col min="12" max="12" width="19" style="14" bestFit="1" customWidth="1"/>
    <col min="13" max="13" width="16.26953125" style="16" bestFit="1" customWidth="1"/>
    <col min="14" max="14" width="10.26953125" style="16" bestFit="1" customWidth="1"/>
    <col min="15" max="15" width="5" style="16" bestFit="1" customWidth="1"/>
    <col min="16" max="18" width="9.54296875" style="14" bestFit="1" customWidth="1"/>
    <col min="19" max="19" width="6.81640625" style="14" bestFit="1" customWidth="1"/>
    <col min="20" max="20" width="10" style="14" bestFit="1" customWidth="1"/>
    <col min="21" max="21" width="52" style="14" bestFit="1" customWidth="1"/>
    <col min="22" max="22" width="21.453125" style="14" bestFit="1" customWidth="1"/>
    <col min="23" max="23" width="14.26953125" style="14" bestFit="1" customWidth="1"/>
    <col min="24" max="16384" width="9.1796875" style="14"/>
  </cols>
  <sheetData>
    <row r="1" spans="1:23" s="34" customFormat="1" ht="25" x14ac:dyDescent="0.35">
      <c r="A1" s="26" t="s">
        <v>0</v>
      </c>
      <c r="B1" s="26" t="s">
        <v>1</v>
      </c>
      <c r="C1" s="26" t="s">
        <v>2</v>
      </c>
      <c r="D1" s="26" t="s">
        <v>3</v>
      </c>
      <c r="E1" s="27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465</v>
      </c>
      <c r="R1" s="26" t="s">
        <v>17</v>
      </c>
      <c r="S1" s="26" t="s">
        <v>18</v>
      </c>
      <c r="T1" s="26" t="s">
        <v>19</v>
      </c>
      <c r="U1" s="26" t="s">
        <v>466</v>
      </c>
      <c r="V1" s="26" t="s">
        <v>713</v>
      </c>
      <c r="W1" s="26" t="s">
        <v>714</v>
      </c>
    </row>
    <row r="2" spans="1:23" x14ac:dyDescent="0.25">
      <c r="A2" s="1">
        <v>1</v>
      </c>
      <c r="B2" s="1">
        <v>101</v>
      </c>
      <c r="C2" s="1" t="e">
        <f>VLOOKUP(B2,[1]Interviewer!B$2:C$193,2,0)</f>
        <v>#N/A</v>
      </c>
      <c r="D2" s="2" t="s">
        <v>21</v>
      </c>
      <c r="E2" s="23" t="s">
        <v>22</v>
      </c>
      <c r="F2" s="4" t="s">
        <v>23</v>
      </c>
      <c r="G2" s="4" t="s">
        <v>24</v>
      </c>
      <c r="H2" s="4" t="s">
        <v>25</v>
      </c>
      <c r="I2" s="25" t="s">
        <v>26</v>
      </c>
      <c r="J2" s="1" t="s">
        <v>27</v>
      </c>
      <c r="K2" s="4">
        <v>7478532199</v>
      </c>
      <c r="L2" s="2" t="s">
        <v>28</v>
      </c>
      <c r="M2" s="1" t="s">
        <v>29</v>
      </c>
      <c r="N2" s="1">
        <v>305</v>
      </c>
      <c r="O2" s="1">
        <v>36</v>
      </c>
      <c r="P2" s="9">
        <f t="shared" ref="P2:P33" si="0">N2*O2</f>
        <v>10980</v>
      </c>
      <c r="Q2" s="9">
        <v>4000</v>
      </c>
      <c r="R2" s="33">
        <f>P2-Q2</f>
        <v>6980</v>
      </c>
      <c r="S2" s="9">
        <f>ROUND(R2*1%,0)</f>
        <v>70</v>
      </c>
      <c r="T2" s="17">
        <f>R2-S2</f>
        <v>6910</v>
      </c>
      <c r="U2" s="2" t="s">
        <v>715</v>
      </c>
      <c r="V2" s="2"/>
      <c r="W2" s="2"/>
    </row>
    <row r="3" spans="1:23" x14ac:dyDescent="0.25">
      <c r="A3" s="1">
        <v>2</v>
      </c>
      <c r="B3" s="1">
        <v>102</v>
      </c>
      <c r="C3" s="1" t="s">
        <v>716</v>
      </c>
      <c r="D3" s="2" t="s">
        <v>717</v>
      </c>
      <c r="E3" s="23" t="s">
        <v>718</v>
      </c>
      <c r="F3" s="4" t="s">
        <v>23</v>
      </c>
      <c r="G3" s="4" t="s">
        <v>24</v>
      </c>
      <c r="H3" s="4" t="s">
        <v>719</v>
      </c>
      <c r="I3" s="25" t="s">
        <v>720</v>
      </c>
      <c r="J3" s="1" t="s">
        <v>27</v>
      </c>
      <c r="K3" s="4">
        <v>9641569109</v>
      </c>
      <c r="L3" s="2" t="s">
        <v>28</v>
      </c>
      <c r="M3" s="1" t="s">
        <v>29</v>
      </c>
      <c r="N3" s="1">
        <v>163</v>
      </c>
      <c r="O3" s="1">
        <v>36</v>
      </c>
      <c r="P3" s="9">
        <f t="shared" si="0"/>
        <v>5868</v>
      </c>
      <c r="Q3" s="9">
        <v>0</v>
      </c>
      <c r="R3" s="9">
        <f t="shared" ref="R3:R33" si="1">P3-Q3</f>
        <v>5868</v>
      </c>
      <c r="S3" s="9">
        <v>0</v>
      </c>
      <c r="T3" s="17">
        <f t="shared" ref="T3:T66" si="2">R3-S3</f>
        <v>5868</v>
      </c>
      <c r="U3" s="2" t="s">
        <v>473</v>
      </c>
      <c r="V3" s="2" t="s">
        <v>721</v>
      </c>
      <c r="W3" s="2"/>
    </row>
    <row r="4" spans="1:23" x14ac:dyDescent="0.25">
      <c r="A4" s="1">
        <v>3</v>
      </c>
      <c r="B4" s="1">
        <v>103</v>
      </c>
      <c r="C4" s="1" t="e">
        <f>VLOOKUP(B4,[1]Interviewer!B$2:C$193,2,0)</f>
        <v>#N/A</v>
      </c>
      <c r="D4" s="2" t="s">
        <v>30</v>
      </c>
      <c r="E4" s="23" t="s">
        <v>31</v>
      </c>
      <c r="F4" s="4" t="s">
        <v>32</v>
      </c>
      <c r="G4" s="4" t="s">
        <v>33</v>
      </c>
      <c r="H4" s="4" t="s">
        <v>34</v>
      </c>
      <c r="I4" s="25" t="s">
        <v>35</v>
      </c>
      <c r="J4" s="1" t="s">
        <v>27</v>
      </c>
      <c r="K4" s="4">
        <v>9733437670</v>
      </c>
      <c r="L4" s="2" t="s">
        <v>28</v>
      </c>
      <c r="M4" s="1" t="s">
        <v>29</v>
      </c>
      <c r="N4" s="1">
        <v>246</v>
      </c>
      <c r="O4" s="1">
        <v>36</v>
      </c>
      <c r="P4" s="9">
        <f t="shared" si="0"/>
        <v>8856</v>
      </c>
      <c r="Q4" s="9">
        <v>2000</v>
      </c>
      <c r="R4" s="33">
        <f t="shared" si="1"/>
        <v>6856</v>
      </c>
      <c r="S4" s="9">
        <f t="shared" ref="S4:S66" si="3">ROUND(R4*1%,0)</f>
        <v>69</v>
      </c>
      <c r="T4" s="17">
        <f t="shared" si="2"/>
        <v>6787</v>
      </c>
      <c r="U4" s="2" t="s">
        <v>715</v>
      </c>
      <c r="V4" s="2"/>
      <c r="W4" s="2"/>
    </row>
    <row r="5" spans="1:23" x14ac:dyDescent="0.25">
      <c r="A5" s="1">
        <v>4</v>
      </c>
      <c r="B5" s="1">
        <v>105</v>
      </c>
      <c r="C5" s="1" t="e">
        <f>VLOOKUP(B5,[1]Interviewer!B$2:C$193,2,0)</f>
        <v>#N/A</v>
      </c>
      <c r="D5" s="2" t="s">
        <v>36</v>
      </c>
      <c r="E5" s="23" t="s">
        <v>37</v>
      </c>
      <c r="F5" s="4" t="s">
        <v>38</v>
      </c>
      <c r="G5" s="4" t="s">
        <v>39</v>
      </c>
      <c r="H5" s="4" t="s">
        <v>40</v>
      </c>
      <c r="I5" s="25" t="s">
        <v>41</v>
      </c>
      <c r="J5" s="1" t="s">
        <v>27</v>
      </c>
      <c r="K5" s="4">
        <v>8370808279</v>
      </c>
      <c r="L5" s="2" t="s">
        <v>28</v>
      </c>
      <c r="M5" s="1" t="s">
        <v>29</v>
      </c>
      <c r="N5" s="1">
        <v>308</v>
      </c>
      <c r="O5" s="1">
        <v>36</v>
      </c>
      <c r="P5" s="9">
        <f t="shared" si="0"/>
        <v>11088</v>
      </c>
      <c r="Q5" s="9">
        <v>750</v>
      </c>
      <c r="R5" s="33">
        <f t="shared" si="1"/>
        <v>10338</v>
      </c>
      <c r="S5" s="9">
        <f t="shared" si="3"/>
        <v>103</v>
      </c>
      <c r="T5" s="17">
        <f t="shared" si="2"/>
        <v>10235</v>
      </c>
      <c r="U5" s="2" t="s">
        <v>715</v>
      </c>
      <c r="V5" s="2"/>
      <c r="W5" s="2"/>
    </row>
    <row r="6" spans="1:23" x14ac:dyDescent="0.25">
      <c r="A6" s="1">
        <v>5</v>
      </c>
      <c r="B6" s="1">
        <v>106</v>
      </c>
      <c r="C6" s="1" t="e">
        <f>VLOOKUP(B6,[1]Interviewer!B$2:C$193,2,0)</f>
        <v>#N/A</v>
      </c>
      <c r="D6" s="2" t="s">
        <v>42</v>
      </c>
      <c r="E6" s="23" t="s">
        <v>43</v>
      </c>
      <c r="F6" s="4" t="s">
        <v>44</v>
      </c>
      <c r="G6" s="4" t="s">
        <v>45</v>
      </c>
      <c r="H6" s="4" t="s">
        <v>46</v>
      </c>
      <c r="I6" s="25" t="s">
        <v>47</v>
      </c>
      <c r="J6" s="1" t="s">
        <v>27</v>
      </c>
      <c r="K6" s="4">
        <v>7076589256</v>
      </c>
      <c r="L6" s="2" t="s">
        <v>28</v>
      </c>
      <c r="M6" s="1" t="s">
        <v>29</v>
      </c>
      <c r="N6" s="1">
        <v>337</v>
      </c>
      <c r="O6" s="1">
        <v>36</v>
      </c>
      <c r="P6" s="9">
        <f t="shared" si="0"/>
        <v>12132</v>
      </c>
      <c r="Q6" s="9">
        <v>750</v>
      </c>
      <c r="R6" s="33">
        <f t="shared" si="1"/>
        <v>11382</v>
      </c>
      <c r="S6" s="9">
        <f t="shared" si="3"/>
        <v>114</v>
      </c>
      <c r="T6" s="17">
        <f t="shared" si="2"/>
        <v>11268</v>
      </c>
      <c r="U6" s="2" t="s">
        <v>715</v>
      </c>
      <c r="V6" s="2"/>
      <c r="W6" s="2"/>
    </row>
    <row r="7" spans="1:23" x14ac:dyDescent="0.25">
      <c r="A7" s="1">
        <v>6</v>
      </c>
      <c r="B7" s="1">
        <v>121</v>
      </c>
      <c r="C7" s="1" t="e">
        <f>VLOOKUP(B7,[1]Interviewer!B$2:C$193,2,0)</f>
        <v>#N/A</v>
      </c>
      <c r="D7" s="2" t="s">
        <v>48</v>
      </c>
      <c r="E7" s="23" t="s">
        <v>49</v>
      </c>
      <c r="F7" s="4" t="s">
        <v>50</v>
      </c>
      <c r="G7" s="4" t="s">
        <v>51</v>
      </c>
      <c r="H7" s="4" t="s">
        <v>52</v>
      </c>
      <c r="I7" s="25" t="s">
        <v>53</v>
      </c>
      <c r="J7" s="1" t="s">
        <v>27</v>
      </c>
      <c r="K7" s="4">
        <v>8116979364</v>
      </c>
      <c r="L7" s="2" t="s">
        <v>54</v>
      </c>
      <c r="M7" s="1" t="s">
        <v>29</v>
      </c>
      <c r="N7" s="1">
        <v>44</v>
      </c>
      <c r="O7" s="1">
        <v>36</v>
      </c>
      <c r="P7" s="9">
        <f t="shared" si="0"/>
        <v>1584</v>
      </c>
      <c r="Q7" s="9">
        <v>0</v>
      </c>
      <c r="R7" s="33">
        <f t="shared" si="1"/>
        <v>1584</v>
      </c>
      <c r="S7" s="9">
        <f t="shared" si="3"/>
        <v>16</v>
      </c>
      <c r="T7" s="17">
        <f t="shared" si="2"/>
        <v>1568</v>
      </c>
      <c r="U7" s="2" t="s">
        <v>715</v>
      </c>
      <c r="V7" s="2"/>
      <c r="W7" s="2"/>
    </row>
    <row r="8" spans="1:23" x14ac:dyDescent="0.25">
      <c r="A8" s="1">
        <v>7</v>
      </c>
      <c r="B8" s="1">
        <v>122</v>
      </c>
      <c r="C8" s="1" t="e">
        <f>VLOOKUP(B8,[1]Interviewer!B$2:C$193,2,0)</f>
        <v>#N/A</v>
      </c>
      <c r="D8" s="2" t="s">
        <v>468</v>
      </c>
      <c r="E8" s="23" t="s">
        <v>469</v>
      </c>
      <c r="F8" s="4" t="s">
        <v>470</v>
      </c>
      <c r="G8" s="4" t="s">
        <v>51</v>
      </c>
      <c r="H8" s="4" t="s">
        <v>471</v>
      </c>
      <c r="I8" s="25" t="s">
        <v>472</v>
      </c>
      <c r="J8" s="1" t="s">
        <v>27</v>
      </c>
      <c r="K8" s="4">
        <v>6297228848</v>
      </c>
      <c r="L8" s="2" t="s">
        <v>54</v>
      </c>
      <c r="M8" s="1" t="s">
        <v>29</v>
      </c>
      <c r="N8" s="1">
        <v>328</v>
      </c>
      <c r="O8" s="1">
        <v>36</v>
      </c>
      <c r="P8" s="9">
        <f t="shared" si="0"/>
        <v>11808</v>
      </c>
      <c r="Q8" s="9">
        <v>2000</v>
      </c>
      <c r="R8" s="33">
        <f t="shared" si="1"/>
        <v>9808</v>
      </c>
      <c r="S8" s="9">
        <f t="shared" si="3"/>
        <v>98</v>
      </c>
      <c r="T8" s="17">
        <f t="shared" si="2"/>
        <v>9710</v>
      </c>
      <c r="U8" s="2" t="s">
        <v>722</v>
      </c>
      <c r="V8" s="2"/>
      <c r="W8" s="2"/>
    </row>
    <row r="9" spans="1:23" x14ac:dyDescent="0.25">
      <c r="A9" s="1">
        <v>8</v>
      </c>
      <c r="B9" s="1">
        <v>123</v>
      </c>
      <c r="C9" s="1" t="e">
        <f>VLOOKUP(B9,[1]Interviewer!B$2:C$193,2,0)</f>
        <v>#N/A</v>
      </c>
      <c r="D9" s="2" t="s">
        <v>55</v>
      </c>
      <c r="E9" s="23" t="s">
        <v>56</v>
      </c>
      <c r="F9" s="4" t="s">
        <v>57</v>
      </c>
      <c r="G9" s="4" t="s">
        <v>58</v>
      </c>
      <c r="H9" s="4" t="s">
        <v>59</v>
      </c>
      <c r="I9" s="25" t="s">
        <v>60</v>
      </c>
      <c r="J9" s="1" t="s">
        <v>27</v>
      </c>
      <c r="K9" s="4">
        <v>7001587123</v>
      </c>
      <c r="L9" s="2" t="s">
        <v>54</v>
      </c>
      <c r="M9" s="1" t="s">
        <v>29</v>
      </c>
      <c r="N9" s="1">
        <v>510</v>
      </c>
      <c r="O9" s="1">
        <v>36</v>
      </c>
      <c r="P9" s="9">
        <f t="shared" si="0"/>
        <v>18360</v>
      </c>
      <c r="Q9" s="9">
        <v>2000</v>
      </c>
      <c r="R9" s="33">
        <f t="shared" si="1"/>
        <v>16360</v>
      </c>
      <c r="S9" s="9">
        <f t="shared" si="3"/>
        <v>164</v>
      </c>
      <c r="T9" s="17">
        <f t="shared" si="2"/>
        <v>16196</v>
      </c>
      <c r="U9" s="2" t="s">
        <v>715</v>
      </c>
      <c r="V9" s="2"/>
      <c r="W9" s="2"/>
    </row>
    <row r="10" spans="1:23" x14ac:dyDescent="0.25">
      <c r="A10" s="1">
        <v>9</v>
      </c>
      <c r="B10" s="1">
        <v>125</v>
      </c>
      <c r="C10" s="1" t="e">
        <f>VLOOKUP(B10,[1]Interviewer!B$2:C$193,2,0)</f>
        <v>#N/A</v>
      </c>
      <c r="D10" s="2" t="s">
        <v>61</v>
      </c>
      <c r="E10" s="23" t="s">
        <v>62</v>
      </c>
      <c r="F10" s="4" t="s">
        <v>63</v>
      </c>
      <c r="G10" s="4" t="s">
        <v>45</v>
      </c>
      <c r="H10" s="4" t="s">
        <v>64</v>
      </c>
      <c r="I10" s="25" t="s">
        <v>65</v>
      </c>
      <c r="J10" s="1" t="s">
        <v>27</v>
      </c>
      <c r="K10" s="4">
        <v>7557848108</v>
      </c>
      <c r="L10" s="2" t="s">
        <v>54</v>
      </c>
      <c r="M10" s="1" t="s">
        <v>29</v>
      </c>
      <c r="N10" s="1">
        <v>79</v>
      </c>
      <c r="O10" s="1">
        <v>36</v>
      </c>
      <c r="P10" s="9">
        <f t="shared" si="0"/>
        <v>2844</v>
      </c>
      <c r="Q10" s="9">
        <v>1500</v>
      </c>
      <c r="R10" s="33">
        <f t="shared" si="1"/>
        <v>1344</v>
      </c>
      <c r="S10" s="9">
        <f t="shared" si="3"/>
        <v>13</v>
      </c>
      <c r="T10" s="17">
        <f t="shared" si="2"/>
        <v>1331</v>
      </c>
      <c r="U10" s="2" t="s">
        <v>715</v>
      </c>
      <c r="V10" s="2"/>
      <c r="W10" s="2"/>
    </row>
    <row r="11" spans="1:23" x14ac:dyDescent="0.25">
      <c r="A11" s="1">
        <v>10</v>
      </c>
      <c r="B11" s="1">
        <v>126</v>
      </c>
      <c r="C11" s="1" t="e">
        <f>VLOOKUP(B11,[1]Interviewer!B$2:C$193,2,0)</f>
        <v>#N/A</v>
      </c>
      <c r="D11" s="2" t="s">
        <v>66</v>
      </c>
      <c r="E11" s="23" t="s">
        <v>67</v>
      </c>
      <c r="F11" s="4" t="s">
        <v>68</v>
      </c>
      <c r="G11" s="4" t="s">
        <v>24</v>
      </c>
      <c r="H11" s="4" t="s">
        <v>69</v>
      </c>
      <c r="I11" s="25" t="s">
        <v>70</v>
      </c>
      <c r="J11" s="1" t="s">
        <v>27</v>
      </c>
      <c r="K11" s="4">
        <v>97355311494</v>
      </c>
      <c r="L11" s="2" t="s">
        <v>54</v>
      </c>
      <c r="M11" s="1" t="s">
        <v>29</v>
      </c>
      <c r="N11" s="1">
        <v>312</v>
      </c>
      <c r="O11" s="1">
        <v>36</v>
      </c>
      <c r="P11" s="9">
        <f t="shared" si="0"/>
        <v>11232</v>
      </c>
      <c r="Q11" s="9">
        <v>2100</v>
      </c>
      <c r="R11" s="33">
        <f t="shared" si="1"/>
        <v>9132</v>
      </c>
      <c r="S11" s="9">
        <f t="shared" si="3"/>
        <v>91</v>
      </c>
      <c r="T11" s="17">
        <f t="shared" si="2"/>
        <v>9041</v>
      </c>
      <c r="U11" s="2" t="s">
        <v>715</v>
      </c>
      <c r="V11" s="2"/>
      <c r="W11" s="2"/>
    </row>
    <row r="12" spans="1:23" x14ac:dyDescent="0.25">
      <c r="A12" s="1">
        <v>11</v>
      </c>
      <c r="B12" s="1">
        <v>127</v>
      </c>
      <c r="C12" s="1" t="e">
        <f>VLOOKUP(B12,[1]Interviewer!B$2:C$193,2,0)</f>
        <v>#N/A</v>
      </c>
      <c r="D12" s="2" t="s">
        <v>71</v>
      </c>
      <c r="E12" s="23" t="s">
        <v>72</v>
      </c>
      <c r="F12" s="4" t="s">
        <v>73</v>
      </c>
      <c r="G12" s="4" t="s">
        <v>74</v>
      </c>
      <c r="H12" s="4" t="s">
        <v>75</v>
      </c>
      <c r="I12" s="25" t="s">
        <v>76</v>
      </c>
      <c r="J12" s="1" t="s">
        <v>27</v>
      </c>
      <c r="K12" s="4">
        <v>9064520095</v>
      </c>
      <c r="L12" s="2" t="s">
        <v>54</v>
      </c>
      <c r="M12" s="1" t="s">
        <v>29</v>
      </c>
      <c r="N12" s="1">
        <v>102</v>
      </c>
      <c r="O12" s="1">
        <v>36</v>
      </c>
      <c r="P12" s="9">
        <f t="shared" si="0"/>
        <v>3672</v>
      </c>
      <c r="Q12" s="9">
        <v>2000</v>
      </c>
      <c r="R12" s="33">
        <f t="shared" si="1"/>
        <v>1672</v>
      </c>
      <c r="S12" s="9">
        <f t="shared" si="3"/>
        <v>17</v>
      </c>
      <c r="T12" s="17">
        <f t="shared" si="2"/>
        <v>1655</v>
      </c>
      <c r="U12" s="2" t="s">
        <v>715</v>
      </c>
      <c r="V12" s="2"/>
      <c r="W12" s="2"/>
    </row>
    <row r="13" spans="1:23" x14ac:dyDescent="0.25">
      <c r="A13" s="1">
        <v>12</v>
      </c>
      <c r="B13" s="1">
        <v>128</v>
      </c>
      <c r="C13" s="1" t="e">
        <f>VLOOKUP(B13,[1]Interviewer!B$2:C$193,2,0)</f>
        <v>#N/A</v>
      </c>
      <c r="D13" s="2" t="s">
        <v>474</v>
      </c>
      <c r="E13" s="23" t="s">
        <v>475</v>
      </c>
      <c r="F13" s="4" t="s">
        <v>476</v>
      </c>
      <c r="G13" s="4" t="s">
        <v>376</v>
      </c>
      <c r="H13" s="4" t="s">
        <v>477</v>
      </c>
      <c r="I13" s="25" t="s">
        <v>478</v>
      </c>
      <c r="J13" s="1" t="s">
        <v>27</v>
      </c>
      <c r="K13" s="4">
        <v>9775850248</v>
      </c>
      <c r="L13" s="2" t="s">
        <v>54</v>
      </c>
      <c r="M13" s="1" t="s">
        <v>29</v>
      </c>
      <c r="N13" s="1">
        <v>393</v>
      </c>
      <c r="O13" s="1">
        <v>36</v>
      </c>
      <c r="P13" s="9">
        <f t="shared" si="0"/>
        <v>14148</v>
      </c>
      <c r="Q13" s="9">
        <v>3000</v>
      </c>
      <c r="R13" s="33">
        <f t="shared" si="1"/>
        <v>11148</v>
      </c>
      <c r="S13" s="9">
        <f t="shared" si="3"/>
        <v>111</v>
      </c>
      <c r="T13" s="17">
        <f t="shared" si="2"/>
        <v>11037</v>
      </c>
      <c r="U13" s="2" t="s">
        <v>722</v>
      </c>
      <c r="V13" s="2"/>
      <c r="W13" s="2"/>
    </row>
    <row r="14" spans="1:23" x14ac:dyDescent="0.25">
      <c r="A14" s="1">
        <v>13</v>
      </c>
      <c r="B14" s="1">
        <v>130</v>
      </c>
      <c r="C14" s="1" t="s">
        <v>716</v>
      </c>
      <c r="D14" s="2" t="s">
        <v>723</v>
      </c>
      <c r="E14" s="23" t="s">
        <v>724</v>
      </c>
      <c r="F14" s="4" t="s">
        <v>725</v>
      </c>
      <c r="G14" s="4" t="s">
        <v>51</v>
      </c>
      <c r="H14" s="4" t="s">
        <v>726</v>
      </c>
      <c r="I14" s="25" t="s">
        <v>727</v>
      </c>
      <c r="J14" s="1" t="s">
        <v>27</v>
      </c>
      <c r="K14" s="4">
        <v>9064121155</v>
      </c>
      <c r="L14" s="2" t="s">
        <v>54</v>
      </c>
      <c r="M14" s="1" t="s">
        <v>29</v>
      </c>
      <c r="N14" s="1">
        <v>28</v>
      </c>
      <c r="O14" s="1">
        <v>36</v>
      </c>
      <c r="P14" s="9">
        <f t="shared" si="0"/>
        <v>1008</v>
      </c>
      <c r="Q14" s="9">
        <v>0</v>
      </c>
      <c r="R14" s="9">
        <f t="shared" si="1"/>
        <v>1008</v>
      </c>
      <c r="S14" s="9">
        <f t="shared" si="3"/>
        <v>10</v>
      </c>
      <c r="T14" s="17">
        <f t="shared" si="2"/>
        <v>998</v>
      </c>
      <c r="U14" s="2" t="s">
        <v>473</v>
      </c>
      <c r="V14" s="2" t="s">
        <v>721</v>
      </c>
      <c r="W14" s="2"/>
    </row>
    <row r="15" spans="1:23" x14ac:dyDescent="0.25">
      <c r="A15" s="1">
        <v>14</v>
      </c>
      <c r="B15" s="1">
        <v>131</v>
      </c>
      <c r="C15" s="1" t="e">
        <f>VLOOKUP(B15,[1]Interviewer!B$2:C$193,2,0)</f>
        <v>#N/A</v>
      </c>
      <c r="D15" s="2" t="s">
        <v>77</v>
      </c>
      <c r="E15" s="23" t="s">
        <v>78</v>
      </c>
      <c r="F15" s="4" t="s">
        <v>79</v>
      </c>
      <c r="G15" s="4" t="s">
        <v>51</v>
      </c>
      <c r="H15" s="4" t="s">
        <v>80</v>
      </c>
      <c r="I15" s="25" t="s">
        <v>81</v>
      </c>
      <c r="J15" s="1" t="s">
        <v>27</v>
      </c>
      <c r="K15" s="4">
        <v>8348151673</v>
      </c>
      <c r="L15" s="2" t="s">
        <v>54</v>
      </c>
      <c r="M15" s="1" t="s">
        <v>29</v>
      </c>
      <c r="N15" s="1">
        <v>156</v>
      </c>
      <c r="O15" s="1">
        <v>36</v>
      </c>
      <c r="P15" s="9">
        <f t="shared" si="0"/>
        <v>5616</v>
      </c>
      <c r="Q15" s="9">
        <v>2200</v>
      </c>
      <c r="R15" s="33">
        <f t="shared" si="1"/>
        <v>3416</v>
      </c>
      <c r="S15" s="9">
        <f t="shared" si="3"/>
        <v>34</v>
      </c>
      <c r="T15" s="17">
        <f t="shared" si="2"/>
        <v>3382</v>
      </c>
      <c r="U15" s="2" t="s">
        <v>715</v>
      </c>
      <c r="V15" s="2"/>
      <c r="W15" s="2"/>
    </row>
    <row r="16" spans="1:23" x14ac:dyDescent="0.25">
      <c r="A16" s="1">
        <v>15</v>
      </c>
      <c r="B16" s="1">
        <v>132</v>
      </c>
      <c r="C16" s="1" t="e">
        <f>VLOOKUP(B16,[1]Interviewer!B$2:C$193,2,0)</f>
        <v>#N/A</v>
      </c>
      <c r="D16" s="2" t="s">
        <v>82</v>
      </c>
      <c r="E16" s="23" t="s">
        <v>83</v>
      </c>
      <c r="F16" s="4" t="s">
        <v>50</v>
      </c>
      <c r="G16" s="4" t="s">
        <v>51</v>
      </c>
      <c r="H16" s="4" t="s">
        <v>84</v>
      </c>
      <c r="I16" s="25" t="s">
        <v>85</v>
      </c>
      <c r="J16" s="1" t="s">
        <v>27</v>
      </c>
      <c r="K16" s="4">
        <v>9749376451</v>
      </c>
      <c r="L16" s="2" t="s">
        <v>54</v>
      </c>
      <c r="M16" s="1" t="s">
        <v>29</v>
      </c>
      <c r="N16" s="1">
        <v>347</v>
      </c>
      <c r="O16" s="1">
        <v>36</v>
      </c>
      <c r="P16" s="9">
        <f t="shared" si="0"/>
        <v>12492</v>
      </c>
      <c r="Q16" s="9">
        <v>2000</v>
      </c>
      <c r="R16" s="33">
        <f t="shared" si="1"/>
        <v>10492</v>
      </c>
      <c r="S16" s="9">
        <f t="shared" si="3"/>
        <v>105</v>
      </c>
      <c r="T16" s="17">
        <f t="shared" si="2"/>
        <v>10387</v>
      </c>
      <c r="U16" s="2" t="s">
        <v>715</v>
      </c>
      <c r="V16" s="2"/>
      <c r="W16" s="2"/>
    </row>
    <row r="17" spans="1:23" x14ac:dyDescent="0.25">
      <c r="A17" s="1">
        <v>16</v>
      </c>
      <c r="B17" s="1">
        <v>133</v>
      </c>
      <c r="C17" s="1" t="s">
        <v>716</v>
      </c>
      <c r="D17" s="2" t="s">
        <v>728</v>
      </c>
      <c r="E17" s="3">
        <v>2071010002929</v>
      </c>
      <c r="F17" s="4" t="s">
        <v>729</v>
      </c>
      <c r="G17" s="4" t="s">
        <v>45</v>
      </c>
      <c r="H17" s="4">
        <v>0</v>
      </c>
      <c r="I17" s="4"/>
      <c r="J17" s="1"/>
      <c r="K17" s="4">
        <v>7074336176</v>
      </c>
      <c r="L17" s="2" t="s">
        <v>54</v>
      </c>
      <c r="M17" s="1" t="s">
        <v>29</v>
      </c>
      <c r="N17" s="1">
        <v>53</v>
      </c>
      <c r="O17" s="1">
        <v>36</v>
      </c>
      <c r="P17" s="9">
        <f t="shared" si="0"/>
        <v>1908</v>
      </c>
      <c r="Q17" s="9">
        <v>0</v>
      </c>
      <c r="R17" s="9">
        <f t="shared" si="1"/>
        <v>1908</v>
      </c>
      <c r="S17" s="9">
        <f t="shared" si="3"/>
        <v>19</v>
      </c>
      <c r="T17" s="17">
        <f t="shared" si="2"/>
        <v>1889</v>
      </c>
      <c r="U17" s="2" t="s">
        <v>730</v>
      </c>
      <c r="V17" s="2" t="s">
        <v>721</v>
      </c>
      <c r="W17" s="2"/>
    </row>
    <row r="18" spans="1:23" x14ac:dyDescent="0.25">
      <c r="A18" s="1">
        <v>17</v>
      </c>
      <c r="B18" s="1">
        <v>134</v>
      </c>
      <c r="C18" s="1" t="s">
        <v>716</v>
      </c>
      <c r="D18" s="2" t="s">
        <v>731</v>
      </c>
      <c r="E18" s="23" t="s">
        <v>732</v>
      </c>
      <c r="F18" s="4" t="s">
        <v>79</v>
      </c>
      <c r="G18" s="4" t="s">
        <v>51</v>
      </c>
      <c r="H18" s="4" t="s">
        <v>733</v>
      </c>
      <c r="I18" s="25" t="s">
        <v>734</v>
      </c>
      <c r="J18" s="1" t="s">
        <v>735</v>
      </c>
      <c r="K18" s="4">
        <v>7866919443</v>
      </c>
      <c r="L18" s="2" t="s">
        <v>54</v>
      </c>
      <c r="M18" s="1" t="s">
        <v>29</v>
      </c>
      <c r="N18" s="1">
        <v>33</v>
      </c>
      <c r="O18" s="1">
        <v>36</v>
      </c>
      <c r="P18" s="9">
        <f t="shared" si="0"/>
        <v>1188</v>
      </c>
      <c r="Q18" s="9">
        <v>0</v>
      </c>
      <c r="R18" s="9">
        <f t="shared" si="1"/>
        <v>1188</v>
      </c>
      <c r="S18" s="9">
        <f>ROUND(R18*20%,0)</f>
        <v>238</v>
      </c>
      <c r="T18" s="17">
        <f t="shared" si="2"/>
        <v>950</v>
      </c>
      <c r="U18" s="2" t="s">
        <v>736</v>
      </c>
      <c r="V18" s="2" t="s">
        <v>721</v>
      </c>
      <c r="W18" s="2"/>
    </row>
    <row r="19" spans="1:23" x14ac:dyDescent="0.25">
      <c r="A19" s="1">
        <v>18</v>
      </c>
      <c r="B19" s="1">
        <v>135</v>
      </c>
      <c r="C19" s="1" t="e">
        <f>VLOOKUP(B19,[1]Interviewer!B$2:C$193,2,0)</f>
        <v>#N/A</v>
      </c>
      <c r="D19" s="2" t="s">
        <v>86</v>
      </c>
      <c r="E19" s="23" t="s">
        <v>87</v>
      </c>
      <c r="F19" s="4" t="s">
        <v>79</v>
      </c>
      <c r="G19" s="4" t="s">
        <v>51</v>
      </c>
      <c r="H19" s="4" t="s">
        <v>88</v>
      </c>
      <c r="I19" s="25" t="s">
        <v>89</v>
      </c>
      <c r="J19" s="1" t="s">
        <v>27</v>
      </c>
      <c r="K19" s="4">
        <v>8250033590</v>
      </c>
      <c r="L19" s="2" t="s">
        <v>54</v>
      </c>
      <c r="M19" s="1" t="s">
        <v>29</v>
      </c>
      <c r="N19" s="1">
        <v>21</v>
      </c>
      <c r="O19" s="1">
        <v>36</v>
      </c>
      <c r="P19" s="9">
        <f t="shared" si="0"/>
        <v>756</v>
      </c>
      <c r="Q19" s="9">
        <v>0</v>
      </c>
      <c r="R19" s="33">
        <f t="shared" si="1"/>
        <v>756</v>
      </c>
      <c r="S19" s="9">
        <f t="shared" si="3"/>
        <v>8</v>
      </c>
      <c r="T19" s="17">
        <f t="shared" si="2"/>
        <v>748</v>
      </c>
      <c r="U19" s="2" t="s">
        <v>715</v>
      </c>
      <c r="V19" s="2"/>
      <c r="W19" s="2"/>
    </row>
    <row r="20" spans="1:23" x14ac:dyDescent="0.25">
      <c r="A20" s="1">
        <v>19</v>
      </c>
      <c r="B20" s="1">
        <v>137</v>
      </c>
      <c r="C20" s="1" t="e">
        <f>VLOOKUP(B20,[1]Interviewer!B$2:C$193,2,0)</f>
        <v>#N/A</v>
      </c>
      <c r="D20" s="2" t="s">
        <v>90</v>
      </c>
      <c r="E20" s="23" t="s">
        <v>91</v>
      </c>
      <c r="F20" s="4" t="s">
        <v>92</v>
      </c>
      <c r="G20" s="4" t="s">
        <v>93</v>
      </c>
      <c r="H20" s="4" t="s">
        <v>94</v>
      </c>
      <c r="I20" s="25" t="s">
        <v>95</v>
      </c>
      <c r="J20" s="1" t="s">
        <v>27</v>
      </c>
      <c r="K20" s="4">
        <v>9564855711</v>
      </c>
      <c r="L20" s="2" t="s">
        <v>54</v>
      </c>
      <c r="M20" s="1" t="s">
        <v>29</v>
      </c>
      <c r="N20" s="1">
        <v>19</v>
      </c>
      <c r="O20" s="1">
        <v>36</v>
      </c>
      <c r="P20" s="9">
        <f t="shared" si="0"/>
        <v>684</v>
      </c>
      <c r="Q20" s="9">
        <v>0</v>
      </c>
      <c r="R20" s="33">
        <f t="shared" si="1"/>
        <v>684</v>
      </c>
      <c r="S20" s="9">
        <f t="shared" si="3"/>
        <v>7</v>
      </c>
      <c r="T20" s="17">
        <f t="shared" si="2"/>
        <v>677</v>
      </c>
      <c r="U20" s="2" t="s">
        <v>715</v>
      </c>
      <c r="V20" s="2"/>
      <c r="W20" s="2"/>
    </row>
    <row r="21" spans="1:23" x14ac:dyDescent="0.25">
      <c r="A21" s="1">
        <v>20</v>
      </c>
      <c r="B21" s="1">
        <v>139</v>
      </c>
      <c r="C21" s="1" t="e">
        <f>VLOOKUP(B21,[1]Interviewer!B$2:C$193,2,0)</f>
        <v>#N/A</v>
      </c>
      <c r="D21" s="2" t="s">
        <v>55</v>
      </c>
      <c r="E21" s="3">
        <v>7029382125</v>
      </c>
      <c r="F21" s="4" t="s">
        <v>737</v>
      </c>
      <c r="G21" s="4" t="s">
        <v>738</v>
      </c>
      <c r="H21" s="4">
        <v>0</v>
      </c>
      <c r="I21" s="4"/>
      <c r="J21" s="1"/>
      <c r="K21" s="4">
        <v>7029382125</v>
      </c>
      <c r="L21" s="2" t="s">
        <v>54</v>
      </c>
      <c r="M21" s="1" t="s">
        <v>29</v>
      </c>
      <c r="N21" s="1">
        <v>44</v>
      </c>
      <c r="O21" s="1">
        <v>36</v>
      </c>
      <c r="P21" s="9">
        <f t="shared" si="0"/>
        <v>1584</v>
      </c>
      <c r="Q21" s="9">
        <v>0</v>
      </c>
      <c r="R21" s="9">
        <f t="shared" si="1"/>
        <v>1584</v>
      </c>
      <c r="S21" s="9">
        <f t="shared" si="3"/>
        <v>16</v>
      </c>
      <c r="T21" s="17">
        <f t="shared" si="2"/>
        <v>1568</v>
      </c>
      <c r="U21" s="2" t="s">
        <v>730</v>
      </c>
      <c r="V21" s="2" t="s">
        <v>721</v>
      </c>
      <c r="W21" s="2"/>
    </row>
    <row r="22" spans="1:23" x14ac:dyDescent="0.25">
      <c r="A22" s="1">
        <v>21</v>
      </c>
      <c r="B22" s="1">
        <v>140</v>
      </c>
      <c r="C22" s="1" t="e">
        <f>VLOOKUP(B22,[1]Interviewer!B$2:C$193,2,0)</f>
        <v>#N/A</v>
      </c>
      <c r="D22" s="2" t="s">
        <v>96</v>
      </c>
      <c r="E22" s="23" t="s">
        <v>97</v>
      </c>
      <c r="F22" s="4" t="s">
        <v>50</v>
      </c>
      <c r="G22" s="4" t="s">
        <v>51</v>
      </c>
      <c r="H22" s="4" t="s">
        <v>98</v>
      </c>
      <c r="I22" s="25" t="s">
        <v>99</v>
      </c>
      <c r="J22" s="1" t="s">
        <v>27</v>
      </c>
      <c r="K22" s="4">
        <v>8250272354</v>
      </c>
      <c r="L22" s="2" t="s">
        <v>54</v>
      </c>
      <c r="M22" s="1" t="s">
        <v>29</v>
      </c>
      <c r="N22" s="1">
        <v>31</v>
      </c>
      <c r="O22" s="1">
        <v>36</v>
      </c>
      <c r="P22" s="9">
        <f t="shared" si="0"/>
        <v>1116</v>
      </c>
      <c r="Q22" s="9">
        <v>0</v>
      </c>
      <c r="R22" s="33">
        <f t="shared" si="1"/>
        <v>1116</v>
      </c>
      <c r="S22" s="9">
        <f t="shared" si="3"/>
        <v>11</v>
      </c>
      <c r="T22" s="17">
        <f t="shared" si="2"/>
        <v>1105</v>
      </c>
      <c r="U22" s="2" t="s">
        <v>715</v>
      </c>
      <c r="V22" s="2"/>
      <c r="W22" s="2"/>
    </row>
    <row r="23" spans="1:23" x14ac:dyDescent="0.25">
      <c r="A23" s="1">
        <v>22</v>
      </c>
      <c r="B23" s="1">
        <v>141</v>
      </c>
      <c r="C23" s="1" t="s">
        <v>716</v>
      </c>
      <c r="D23" s="2" t="s">
        <v>739</v>
      </c>
      <c r="E23" s="23" t="s">
        <v>740</v>
      </c>
      <c r="F23" s="4" t="s">
        <v>741</v>
      </c>
      <c r="G23" s="4" t="s">
        <v>506</v>
      </c>
      <c r="H23" s="4" t="s">
        <v>742</v>
      </c>
      <c r="I23" s="25" t="s">
        <v>743</v>
      </c>
      <c r="J23" s="1" t="s">
        <v>27</v>
      </c>
      <c r="K23" s="4">
        <v>9735690880</v>
      </c>
      <c r="L23" s="2" t="s">
        <v>105</v>
      </c>
      <c r="M23" s="1" t="s">
        <v>29</v>
      </c>
      <c r="N23" s="1">
        <v>48</v>
      </c>
      <c r="O23" s="1">
        <v>36</v>
      </c>
      <c r="P23" s="9">
        <f t="shared" si="0"/>
        <v>1728</v>
      </c>
      <c r="Q23" s="9">
        <v>0</v>
      </c>
      <c r="R23" s="9">
        <f t="shared" si="1"/>
        <v>1728</v>
      </c>
      <c r="S23" s="9">
        <v>0</v>
      </c>
      <c r="T23" s="17">
        <f t="shared" si="2"/>
        <v>1728</v>
      </c>
      <c r="U23" s="2" t="s">
        <v>473</v>
      </c>
      <c r="V23" s="2" t="s">
        <v>721</v>
      </c>
      <c r="W23" s="2"/>
    </row>
    <row r="24" spans="1:23" x14ac:dyDescent="0.25">
      <c r="A24" s="1">
        <v>23</v>
      </c>
      <c r="B24" s="1">
        <v>145</v>
      </c>
      <c r="C24" s="1" t="e">
        <f>VLOOKUP(B24,[1]Interviewer!B$2:C$193,2,0)</f>
        <v>#N/A</v>
      </c>
      <c r="D24" s="2" t="s">
        <v>100</v>
      </c>
      <c r="E24" s="23" t="s">
        <v>101</v>
      </c>
      <c r="F24" s="4" t="s">
        <v>102</v>
      </c>
      <c r="G24" s="4" t="s">
        <v>51</v>
      </c>
      <c r="H24" s="4" t="s">
        <v>103</v>
      </c>
      <c r="I24" s="25" t="s">
        <v>104</v>
      </c>
      <c r="J24" s="1" t="s">
        <v>27</v>
      </c>
      <c r="K24" s="4">
        <v>9093800221</v>
      </c>
      <c r="L24" s="2" t="s">
        <v>105</v>
      </c>
      <c r="M24" s="1" t="s">
        <v>29</v>
      </c>
      <c r="N24" s="1">
        <v>37</v>
      </c>
      <c r="O24" s="1">
        <v>36</v>
      </c>
      <c r="P24" s="9">
        <f t="shared" si="0"/>
        <v>1332</v>
      </c>
      <c r="Q24" s="9">
        <v>0</v>
      </c>
      <c r="R24" s="33">
        <f t="shared" si="1"/>
        <v>1332</v>
      </c>
      <c r="S24" s="9">
        <f t="shared" si="3"/>
        <v>13</v>
      </c>
      <c r="T24" s="17">
        <f t="shared" si="2"/>
        <v>1319</v>
      </c>
      <c r="U24" s="2" t="s">
        <v>715</v>
      </c>
      <c r="V24" s="2"/>
      <c r="W24" s="2"/>
    </row>
    <row r="25" spans="1:23" x14ac:dyDescent="0.25">
      <c r="A25" s="1">
        <v>24</v>
      </c>
      <c r="B25" s="1">
        <v>148</v>
      </c>
      <c r="C25" s="1" t="e">
        <f>VLOOKUP(B25,[1]Interviewer!B$2:C$193,2,0)</f>
        <v>#N/A</v>
      </c>
      <c r="D25" s="2" t="s">
        <v>479</v>
      </c>
      <c r="E25" s="23" t="s">
        <v>480</v>
      </c>
      <c r="F25" s="4" t="s">
        <v>481</v>
      </c>
      <c r="G25" s="4" t="s">
        <v>265</v>
      </c>
      <c r="H25" s="4" t="s">
        <v>482</v>
      </c>
      <c r="I25" s="25" t="s">
        <v>483</v>
      </c>
      <c r="J25" s="1" t="s">
        <v>27</v>
      </c>
      <c r="K25" s="4">
        <v>9231761032</v>
      </c>
      <c r="L25" s="2" t="s">
        <v>111</v>
      </c>
      <c r="M25" s="1" t="s">
        <v>29</v>
      </c>
      <c r="N25" s="1">
        <v>118</v>
      </c>
      <c r="O25" s="1">
        <v>36</v>
      </c>
      <c r="P25" s="9">
        <f t="shared" si="0"/>
        <v>4248</v>
      </c>
      <c r="Q25" s="9">
        <v>1000</v>
      </c>
      <c r="R25" s="33">
        <f t="shared" si="1"/>
        <v>3248</v>
      </c>
      <c r="S25" s="9">
        <f t="shared" si="3"/>
        <v>32</v>
      </c>
      <c r="T25" s="17">
        <f t="shared" si="2"/>
        <v>3216</v>
      </c>
      <c r="U25" s="2" t="s">
        <v>722</v>
      </c>
      <c r="V25" s="2"/>
      <c r="W25" s="2"/>
    </row>
    <row r="26" spans="1:23" x14ac:dyDescent="0.25">
      <c r="A26" s="1">
        <v>25</v>
      </c>
      <c r="B26" s="1">
        <v>149</v>
      </c>
      <c r="C26" s="1" t="e">
        <f>VLOOKUP(B26,[1]Interviewer!B$2:C$193,2,0)</f>
        <v>#N/A</v>
      </c>
      <c r="D26" s="2" t="s">
        <v>484</v>
      </c>
      <c r="E26" s="23" t="s">
        <v>485</v>
      </c>
      <c r="F26" s="4" t="s">
        <v>481</v>
      </c>
      <c r="G26" s="4" t="s">
        <v>265</v>
      </c>
      <c r="H26" s="4" t="s">
        <v>486</v>
      </c>
      <c r="I26" s="25" t="s">
        <v>487</v>
      </c>
      <c r="J26" s="1" t="s">
        <v>27</v>
      </c>
      <c r="K26" s="4">
        <v>9933324210</v>
      </c>
      <c r="L26" s="2" t="s">
        <v>111</v>
      </c>
      <c r="M26" s="1" t="s">
        <v>29</v>
      </c>
      <c r="N26" s="1">
        <v>95</v>
      </c>
      <c r="O26" s="1">
        <v>36</v>
      </c>
      <c r="P26" s="9">
        <f t="shared" si="0"/>
        <v>3420</v>
      </c>
      <c r="Q26" s="9">
        <v>1000</v>
      </c>
      <c r="R26" s="33">
        <f t="shared" si="1"/>
        <v>2420</v>
      </c>
      <c r="S26" s="9">
        <f t="shared" si="3"/>
        <v>24</v>
      </c>
      <c r="T26" s="17">
        <f t="shared" si="2"/>
        <v>2396</v>
      </c>
      <c r="U26" s="2" t="s">
        <v>722</v>
      </c>
      <c r="V26" s="2"/>
      <c r="W26" s="2"/>
    </row>
    <row r="27" spans="1:23" x14ac:dyDescent="0.25">
      <c r="A27" s="1">
        <v>26</v>
      </c>
      <c r="B27" s="1">
        <v>150</v>
      </c>
      <c r="C27" s="1" t="s">
        <v>716</v>
      </c>
      <c r="D27" s="2" t="s">
        <v>550</v>
      </c>
      <c r="E27" s="3">
        <v>0</v>
      </c>
      <c r="F27" s="4">
        <v>0</v>
      </c>
      <c r="G27" s="4" t="s">
        <v>744</v>
      </c>
      <c r="H27" s="4">
        <v>0</v>
      </c>
      <c r="I27" s="4"/>
      <c r="J27" s="1"/>
      <c r="K27" s="4">
        <v>9233706588</v>
      </c>
      <c r="L27" s="2" t="s">
        <v>111</v>
      </c>
      <c r="M27" s="1" t="s">
        <v>29</v>
      </c>
      <c r="N27" s="1">
        <v>12</v>
      </c>
      <c r="O27" s="1">
        <v>36</v>
      </c>
      <c r="P27" s="9">
        <f t="shared" si="0"/>
        <v>432</v>
      </c>
      <c r="Q27" s="9">
        <v>400</v>
      </c>
      <c r="R27" s="9">
        <f t="shared" si="1"/>
        <v>32</v>
      </c>
      <c r="S27" s="9">
        <f t="shared" si="3"/>
        <v>0</v>
      </c>
      <c r="T27" s="17">
        <f t="shared" si="2"/>
        <v>32</v>
      </c>
      <c r="U27" s="2" t="s">
        <v>730</v>
      </c>
      <c r="V27" s="2" t="s">
        <v>745</v>
      </c>
      <c r="W27" s="2"/>
    </row>
    <row r="28" spans="1:23" x14ac:dyDescent="0.25">
      <c r="A28" s="1">
        <v>27</v>
      </c>
      <c r="B28" s="1">
        <v>151</v>
      </c>
      <c r="C28" s="1" t="e">
        <f>VLOOKUP(B28,[1]Interviewer!B$2:C$193,2,0)</f>
        <v>#N/A</v>
      </c>
      <c r="D28" s="2" t="s">
        <v>106</v>
      </c>
      <c r="E28" s="23" t="s">
        <v>107</v>
      </c>
      <c r="F28" s="4" t="s">
        <v>108</v>
      </c>
      <c r="G28" s="4" t="s">
        <v>51</v>
      </c>
      <c r="H28" s="4" t="s">
        <v>109</v>
      </c>
      <c r="I28" s="25" t="s">
        <v>110</v>
      </c>
      <c r="J28" s="1" t="s">
        <v>27</v>
      </c>
      <c r="K28" s="4">
        <v>6296775481</v>
      </c>
      <c r="L28" s="2" t="s">
        <v>111</v>
      </c>
      <c r="M28" s="1" t="s">
        <v>29</v>
      </c>
      <c r="N28" s="1">
        <v>157</v>
      </c>
      <c r="O28" s="1">
        <v>36</v>
      </c>
      <c r="P28" s="9">
        <f t="shared" si="0"/>
        <v>5652</v>
      </c>
      <c r="Q28" s="9">
        <v>2500</v>
      </c>
      <c r="R28" s="33">
        <f t="shared" si="1"/>
        <v>3152</v>
      </c>
      <c r="S28" s="9">
        <f t="shared" si="3"/>
        <v>32</v>
      </c>
      <c r="T28" s="17">
        <f t="shared" si="2"/>
        <v>3120</v>
      </c>
      <c r="U28" s="2" t="s">
        <v>715</v>
      </c>
      <c r="V28" s="2"/>
      <c r="W28" s="2"/>
    </row>
    <row r="29" spans="1:23" x14ac:dyDescent="0.25">
      <c r="A29" s="1">
        <v>28</v>
      </c>
      <c r="B29" s="1">
        <v>152</v>
      </c>
      <c r="C29" s="1" t="e">
        <f>VLOOKUP(B29,[1]Interviewer!B$2:C$193,2,0)</f>
        <v>#N/A</v>
      </c>
      <c r="D29" s="2" t="s">
        <v>112</v>
      </c>
      <c r="E29" s="23" t="s">
        <v>113</v>
      </c>
      <c r="F29" s="4" t="s">
        <v>114</v>
      </c>
      <c r="G29" s="4" t="s">
        <v>45</v>
      </c>
      <c r="H29" s="4" t="s">
        <v>115</v>
      </c>
      <c r="I29" s="25" t="s">
        <v>116</v>
      </c>
      <c r="J29" s="1" t="s">
        <v>27</v>
      </c>
      <c r="K29" s="4">
        <v>8906958656</v>
      </c>
      <c r="L29" s="2" t="s">
        <v>111</v>
      </c>
      <c r="M29" s="1" t="s">
        <v>29</v>
      </c>
      <c r="N29" s="1">
        <v>105</v>
      </c>
      <c r="O29" s="1">
        <v>36</v>
      </c>
      <c r="P29" s="9">
        <f t="shared" si="0"/>
        <v>3780</v>
      </c>
      <c r="Q29" s="9">
        <v>1000</v>
      </c>
      <c r="R29" s="33">
        <f t="shared" si="1"/>
        <v>2780</v>
      </c>
      <c r="S29" s="9">
        <f t="shared" si="3"/>
        <v>28</v>
      </c>
      <c r="T29" s="17">
        <f t="shared" si="2"/>
        <v>2752</v>
      </c>
      <c r="U29" s="2" t="s">
        <v>715</v>
      </c>
      <c r="V29" s="2"/>
      <c r="W29" s="2"/>
    </row>
    <row r="30" spans="1:23" x14ac:dyDescent="0.25">
      <c r="A30" s="1">
        <v>29</v>
      </c>
      <c r="B30" s="1">
        <v>153</v>
      </c>
      <c r="C30" s="1" t="e">
        <f>VLOOKUP(B30,[1]Interviewer!B$2:C$193,2,0)</f>
        <v>#N/A</v>
      </c>
      <c r="D30" s="2" t="s">
        <v>117</v>
      </c>
      <c r="E30" s="23" t="s">
        <v>118</v>
      </c>
      <c r="F30" s="4" t="s">
        <v>119</v>
      </c>
      <c r="G30" s="4" t="s">
        <v>45</v>
      </c>
      <c r="H30" s="4" t="s">
        <v>120</v>
      </c>
      <c r="I30" s="25" t="s">
        <v>121</v>
      </c>
      <c r="J30" s="1" t="s">
        <v>27</v>
      </c>
      <c r="K30" s="4">
        <v>8509106684</v>
      </c>
      <c r="L30" s="2" t="s">
        <v>111</v>
      </c>
      <c r="M30" s="1" t="s">
        <v>29</v>
      </c>
      <c r="N30" s="1">
        <v>58</v>
      </c>
      <c r="O30" s="1">
        <v>36</v>
      </c>
      <c r="P30" s="9">
        <f t="shared" si="0"/>
        <v>2088</v>
      </c>
      <c r="Q30" s="9">
        <v>1000</v>
      </c>
      <c r="R30" s="33">
        <f t="shared" si="1"/>
        <v>1088</v>
      </c>
      <c r="S30" s="9">
        <f t="shared" si="3"/>
        <v>11</v>
      </c>
      <c r="T30" s="17">
        <f t="shared" si="2"/>
        <v>1077</v>
      </c>
      <c r="U30" s="2" t="s">
        <v>715</v>
      </c>
      <c r="V30" s="2"/>
      <c r="W30" s="2"/>
    </row>
    <row r="31" spans="1:23" x14ac:dyDescent="0.25">
      <c r="A31" s="1">
        <v>30</v>
      </c>
      <c r="B31" s="1">
        <v>154</v>
      </c>
      <c r="C31" s="1" t="e">
        <f>VLOOKUP(B31,[1]Interviewer!B$2:C$193,2,0)</f>
        <v>#N/A</v>
      </c>
      <c r="D31" s="2" t="s">
        <v>488</v>
      </c>
      <c r="E31" s="23" t="s">
        <v>489</v>
      </c>
      <c r="F31" s="4" t="s">
        <v>490</v>
      </c>
      <c r="G31" s="4" t="s">
        <v>376</v>
      </c>
      <c r="H31" s="4" t="s">
        <v>491</v>
      </c>
      <c r="I31" s="25" t="s">
        <v>492</v>
      </c>
      <c r="J31" s="1" t="s">
        <v>27</v>
      </c>
      <c r="K31" s="4" t="s">
        <v>493</v>
      </c>
      <c r="L31" s="2" t="s">
        <v>111</v>
      </c>
      <c r="M31" s="1" t="s">
        <v>29</v>
      </c>
      <c r="N31" s="1">
        <v>42</v>
      </c>
      <c r="O31" s="1">
        <v>36</v>
      </c>
      <c r="P31" s="9">
        <f t="shared" si="0"/>
        <v>1512</v>
      </c>
      <c r="Q31" s="9">
        <v>0</v>
      </c>
      <c r="R31" s="33">
        <f t="shared" si="1"/>
        <v>1512</v>
      </c>
      <c r="S31" s="9">
        <f t="shared" si="3"/>
        <v>15</v>
      </c>
      <c r="T31" s="17">
        <f t="shared" si="2"/>
        <v>1497</v>
      </c>
      <c r="U31" s="2" t="s">
        <v>722</v>
      </c>
      <c r="V31" s="2"/>
      <c r="W31" s="2"/>
    </row>
    <row r="32" spans="1:23" x14ac:dyDescent="0.25">
      <c r="A32" s="1">
        <v>31</v>
      </c>
      <c r="B32" s="1">
        <v>158</v>
      </c>
      <c r="C32" s="1" t="s">
        <v>716</v>
      </c>
      <c r="D32" s="2" t="s">
        <v>746</v>
      </c>
      <c r="E32" s="23" t="s">
        <v>747</v>
      </c>
      <c r="F32" s="4" t="s">
        <v>748</v>
      </c>
      <c r="G32" s="4" t="s">
        <v>51</v>
      </c>
      <c r="H32" s="4" t="s">
        <v>749</v>
      </c>
      <c r="I32" s="25" t="s">
        <v>750</v>
      </c>
      <c r="J32" s="1" t="s">
        <v>735</v>
      </c>
      <c r="K32" s="4">
        <v>7586847700</v>
      </c>
      <c r="L32" s="2" t="s">
        <v>127</v>
      </c>
      <c r="M32" s="1" t="s">
        <v>29</v>
      </c>
      <c r="N32" s="1">
        <v>13</v>
      </c>
      <c r="O32" s="1">
        <v>36</v>
      </c>
      <c r="P32" s="9">
        <f t="shared" si="0"/>
        <v>468</v>
      </c>
      <c r="Q32" s="9">
        <v>0</v>
      </c>
      <c r="R32" s="9">
        <f t="shared" si="1"/>
        <v>468</v>
      </c>
      <c r="S32" s="9">
        <f t="shared" si="3"/>
        <v>5</v>
      </c>
      <c r="T32" s="17">
        <f t="shared" si="2"/>
        <v>463</v>
      </c>
      <c r="U32" s="2" t="s">
        <v>751</v>
      </c>
      <c r="V32" s="2" t="s">
        <v>721</v>
      </c>
      <c r="W32" s="2"/>
    </row>
    <row r="33" spans="1:23" x14ac:dyDescent="0.25">
      <c r="A33" s="1">
        <v>32</v>
      </c>
      <c r="B33" s="1">
        <v>159</v>
      </c>
      <c r="C33" s="1" t="s">
        <v>716</v>
      </c>
      <c r="D33" s="2" t="s">
        <v>752</v>
      </c>
      <c r="E33" s="23" t="s">
        <v>753</v>
      </c>
      <c r="F33" s="4" t="s">
        <v>754</v>
      </c>
      <c r="G33" s="4" t="s">
        <v>51</v>
      </c>
      <c r="H33" s="4" t="s">
        <v>755</v>
      </c>
      <c r="I33" s="25" t="s">
        <v>756</v>
      </c>
      <c r="J33" s="1" t="s">
        <v>27</v>
      </c>
      <c r="K33" s="4">
        <v>9064159560</v>
      </c>
      <c r="L33" s="2" t="s">
        <v>127</v>
      </c>
      <c r="M33" s="1" t="s">
        <v>29</v>
      </c>
      <c r="N33" s="1">
        <v>10</v>
      </c>
      <c r="O33" s="1">
        <v>36</v>
      </c>
      <c r="P33" s="9">
        <f t="shared" si="0"/>
        <v>360</v>
      </c>
      <c r="Q33" s="9">
        <v>360</v>
      </c>
      <c r="R33" s="9">
        <f t="shared" si="1"/>
        <v>0</v>
      </c>
      <c r="S33" s="9">
        <f t="shared" si="3"/>
        <v>0</v>
      </c>
      <c r="T33" s="17">
        <f t="shared" si="2"/>
        <v>0</v>
      </c>
      <c r="U33" s="2" t="s">
        <v>473</v>
      </c>
      <c r="V33" s="2" t="s">
        <v>745</v>
      </c>
      <c r="W33" s="2"/>
    </row>
    <row r="34" spans="1:23" x14ac:dyDescent="0.25">
      <c r="A34" s="1">
        <v>33</v>
      </c>
      <c r="B34" s="1">
        <v>160</v>
      </c>
      <c r="C34" s="1" t="e">
        <f>VLOOKUP(B34,[1]Interviewer!B$2:C$193,2,0)</f>
        <v>#N/A</v>
      </c>
      <c r="D34" s="2" t="s">
        <v>122</v>
      </c>
      <c r="E34" s="23" t="s">
        <v>123</v>
      </c>
      <c r="F34" s="4" t="s">
        <v>124</v>
      </c>
      <c r="G34" s="4" t="s">
        <v>51</v>
      </c>
      <c r="H34" s="4" t="s">
        <v>125</v>
      </c>
      <c r="I34" s="25" t="s">
        <v>126</v>
      </c>
      <c r="J34" s="1" t="s">
        <v>27</v>
      </c>
      <c r="K34" s="4">
        <v>8389001536</v>
      </c>
      <c r="L34" s="2" t="s">
        <v>127</v>
      </c>
      <c r="M34" s="1" t="s">
        <v>29</v>
      </c>
      <c r="N34" s="1">
        <v>86</v>
      </c>
      <c r="O34" s="1">
        <v>36</v>
      </c>
      <c r="P34" s="9">
        <f t="shared" ref="P34:P65" si="4">N34*O34</f>
        <v>3096</v>
      </c>
      <c r="Q34" s="9">
        <v>800</v>
      </c>
      <c r="R34" s="33">
        <f t="shared" ref="R34:R65" si="5">P34-Q34</f>
        <v>2296</v>
      </c>
      <c r="S34" s="9">
        <f t="shared" si="3"/>
        <v>23</v>
      </c>
      <c r="T34" s="17">
        <f t="shared" si="2"/>
        <v>2273</v>
      </c>
      <c r="U34" s="2" t="s">
        <v>715</v>
      </c>
      <c r="V34" s="2"/>
      <c r="W34" s="2"/>
    </row>
    <row r="35" spans="1:23" x14ac:dyDescent="0.25">
      <c r="A35" s="1">
        <v>34</v>
      </c>
      <c r="B35" s="1">
        <v>161</v>
      </c>
      <c r="C35" s="1" t="e">
        <f>VLOOKUP(B35,[1]Interviewer!B$2:C$193,2,0)</f>
        <v>#N/A</v>
      </c>
      <c r="D35" s="2" t="s">
        <v>128</v>
      </c>
      <c r="E35" s="23" t="s">
        <v>129</v>
      </c>
      <c r="F35" s="4" t="s">
        <v>130</v>
      </c>
      <c r="G35" s="4" t="s">
        <v>51</v>
      </c>
      <c r="H35" s="4" t="s">
        <v>131</v>
      </c>
      <c r="I35" s="25" t="s">
        <v>132</v>
      </c>
      <c r="J35" s="1" t="s">
        <v>27</v>
      </c>
      <c r="K35" s="4">
        <v>6295397948</v>
      </c>
      <c r="L35" s="2" t="s">
        <v>127</v>
      </c>
      <c r="M35" s="1" t="s">
        <v>29</v>
      </c>
      <c r="N35" s="1">
        <v>196</v>
      </c>
      <c r="O35" s="1">
        <v>36</v>
      </c>
      <c r="P35" s="9">
        <f t="shared" si="4"/>
        <v>7056</v>
      </c>
      <c r="Q35" s="9">
        <v>2000</v>
      </c>
      <c r="R35" s="33">
        <f t="shared" si="5"/>
        <v>5056</v>
      </c>
      <c r="S35" s="9">
        <f t="shared" si="3"/>
        <v>51</v>
      </c>
      <c r="T35" s="17">
        <f t="shared" si="2"/>
        <v>5005</v>
      </c>
      <c r="U35" s="2" t="s">
        <v>715</v>
      </c>
      <c r="V35" s="2"/>
      <c r="W35" s="2"/>
    </row>
    <row r="36" spans="1:23" x14ac:dyDescent="0.25">
      <c r="A36" s="1">
        <v>35</v>
      </c>
      <c r="B36" s="1">
        <v>162</v>
      </c>
      <c r="C36" s="1" t="s">
        <v>716</v>
      </c>
      <c r="D36" s="2" t="s">
        <v>757</v>
      </c>
      <c r="E36" s="23" t="s">
        <v>758</v>
      </c>
      <c r="F36" s="4" t="s">
        <v>759</v>
      </c>
      <c r="G36" s="4" t="s">
        <v>51</v>
      </c>
      <c r="H36" s="4" t="s">
        <v>760</v>
      </c>
      <c r="I36" s="25" t="s">
        <v>761</v>
      </c>
      <c r="J36" s="1" t="s">
        <v>27</v>
      </c>
      <c r="K36" s="4">
        <v>9749404862</v>
      </c>
      <c r="L36" s="2" t="s">
        <v>127</v>
      </c>
      <c r="M36" s="1" t="s">
        <v>29</v>
      </c>
      <c r="N36" s="1">
        <v>28</v>
      </c>
      <c r="O36" s="1">
        <v>36</v>
      </c>
      <c r="P36" s="9">
        <f t="shared" si="4"/>
        <v>1008</v>
      </c>
      <c r="Q36" s="9">
        <v>0</v>
      </c>
      <c r="R36" s="9">
        <f t="shared" si="5"/>
        <v>1008</v>
      </c>
      <c r="S36" s="9">
        <f t="shared" si="3"/>
        <v>10</v>
      </c>
      <c r="T36" s="17">
        <f t="shared" si="2"/>
        <v>998</v>
      </c>
      <c r="U36" s="2" t="s">
        <v>473</v>
      </c>
      <c r="V36" s="2" t="s">
        <v>721</v>
      </c>
      <c r="W36" s="2"/>
    </row>
    <row r="37" spans="1:23" x14ac:dyDescent="0.25">
      <c r="A37" s="1">
        <v>36</v>
      </c>
      <c r="B37" s="1">
        <v>164</v>
      </c>
      <c r="C37" s="1" t="e">
        <f>VLOOKUP(B37,[1]Interviewer!B$2:C$193,2,0)</f>
        <v>#N/A</v>
      </c>
      <c r="D37" s="2" t="s">
        <v>133</v>
      </c>
      <c r="E37" s="23" t="s">
        <v>134</v>
      </c>
      <c r="F37" s="4" t="s">
        <v>135</v>
      </c>
      <c r="G37" s="4" t="s">
        <v>136</v>
      </c>
      <c r="H37" s="4" t="s">
        <v>137</v>
      </c>
      <c r="I37" s="25" t="s">
        <v>138</v>
      </c>
      <c r="J37" s="1" t="s">
        <v>27</v>
      </c>
      <c r="K37" s="4">
        <v>6291521402</v>
      </c>
      <c r="L37" s="2" t="s">
        <v>127</v>
      </c>
      <c r="M37" s="1" t="s">
        <v>29</v>
      </c>
      <c r="N37" s="1">
        <v>115</v>
      </c>
      <c r="O37" s="1">
        <v>36</v>
      </c>
      <c r="P37" s="9">
        <f t="shared" si="4"/>
        <v>4140</v>
      </c>
      <c r="Q37" s="9">
        <v>0</v>
      </c>
      <c r="R37" s="33">
        <f t="shared" si="5"/>
        <v>4140</v>
      </c>
      <c r="S37" s="9">
        <f t="shared" si="3"/>
        <v>41</v>
      </c>
      <c r="T37" s="17">
        <f t="shared" si="2"/>
        <v>4099</v>
      </c>
      <c r="U37" s="2" t="s">
        <v>715</v>
      </c>
      <c r="V37" s="2"/>
      <c r="W37" s="2"/>
    </row>
    <row r="38" spans="1:23" x14ac:dyDescent="0.25">
      <c r="A38" s="1">
        <v>37</v>
      </c>
      <c r="B38" s="1">
        <v>165</v>
      </c>
      <c r="C38" s="1" t="e">
        <f>VLOOKUP(B38,[1]Interviewer!B$2:C$193,2,0)</f>
        <v>#N/A</v>
      </c>
      <c r="D38" s="2" t="s">
        <v>494</v>
      </c>
      <c r="E38" s="23" t="s">
        <v>495</v>
      </c>
      <c r="F38" s="4" t="s">
        <v>135</v>
      </c>
      <c r="G38" s="4" t="s">
        <v>45</v>
      </c>
      <c r="H38" s="4" t="s">
        <v>496</v>
      </c>
      <c r="I38" s="25" t="s">
        <v>497</v>
      </c>
      <c r="J38" s="1" t="s">
        <v>27</v>
      </c>
      <c r="K38" s="4">
        <v>6296958307</v>
      </c>
      <c r="L38" s="2" t="s">
        <v>127</v>
      </c>
      <c r="M38" s="1" t="s">
        <v>29</v>
      </c>
      <c r="N38" s="1">
        <v>45</v>
      </c>
      <c r="O38" s="1">
        <v>36</v>
      </c>
      <c r="P38" s="9">
        <f t="shared" si="4"/>
        <v>1620</v>
      </c>
      <c r="Q38" s="9">
        <v>500</v>
      </c>
      <c r="R38" s="33">
        <f t="shared" si="5"/>
        <v>1120</v>
      </c>
      <c r="S38" s="9">
        <f t="shared" si="3"/>
        <v>11</v>
      </c>
      <c r="T38" s="17">
        <f t="shared" si="2"/>
        <v>1109</v>
      </c>
      <c r="U38" s="2" t="s">
        <v>722</v>
      </c>
      <c r="V38" s="2"/>
      <c r="W38" s="2"/>
    </row>
    <row r="39" spans="1:23" x14ac:dyDescent="0.25">
      <c r="A39" s="1">
        <v>38</v>
      </c>
      <c r="B39" s="1">
        <v>166</v>
      </c>
      <c r="C39" s="1" t="e">
        <f>VLOOKUP(B39,[1]Interviewer!B$2:C$193,2,0)</f>
        <v>#N/A</v>
      </c>
      <c r="D39" s="2" t="s">
        <v>762</v>
      </c>
      <c r="E39" s="23" t="s">
        <v>763</v>
      </c>
      <c r="F39" s="4" t="s">
        <v>764</v>
      </c>
      <c r="G39" s="4" t="s">
        <v>45</v>
      </c>
      <c r="H39" s="4" t="s">
        <v>765</v>
      </c>
      <c r="I39" s="25" t="s">
        <v>766</v>
      </c>
      <c r="J39" s="1" t="s">
        <v>735</v>
      </c>
      <c r="K39" s="4">
        <v>6294822656</v>
      </c>
      <c r="L39" s="2" t="s">
        <v>127</v>
      </c>
      <c r="M39" s="1" t="s">
        <v>29</v>
      </c>
      <c r="N39" s="1">
        <v>79</v>
      </c>
      <c r="O39" s="1">
        <v>36</v>
      </c>
      <c r="P39" s="9">
        <f t="shared" si="4"/>
        <v>2844</v>
      </c>
      <c r="Q39" s="9">
        <v>500</v>
      </c>
      <c r="R39" s="9">
        <f t="shared" si="5"/>
        <v>2344</v>
      </c>
      <c r="S39" s="9">
        <v>0</v>
      </c>
      <c r="T39" s="17">
        <f t="shared" si="2"/>
        <v>2344</v>
      </c>
      <c r="U39" s="2" t="s">
        <v>736</v>
      </c>
      <c r="V39" s="2" t="s">
        <v>721</v>
      </c>
      <c r="W39" s="2"/>
    </row>
    <row r="40" spans="1:23" x14ac:dyDescent="0.25">
      <c r="A40" s="1">
        <v>39</v>
      </c>
      <c r="B40" s="1">
        <v>181</v>
      </c>
      <c r="C40" s="1" t="e">
        <f>VLOOKUP(B40,[1]Interviewer!B$2:C$193,2,0)</f>
        <v>#N/A</v>
      </c>
      <c r="D40" s="2" t="s">
        <v>139</v>
      </c>
      <c r="E40" s="23" t="s">
        <v>140</v>
      </c>
      <c r="F40" s="4" t="s">
        <v>79</v>
      </c>
      <c r="G40" s="4" t="s">
        <v>51</v>
      </c>
      <c r="H40" s="4" t="s">
        <v>141</v>
      </c>
      <c r="I40" s="25" t="s">
        <v>142</v>
      </c>
      <c r="J40" s="1" t="s">
        <v>27</v>
      </c>
      <c r="K40" s="4">
        <v>7557848108</v>
      </c>
      <c r="L40" s="2" t="s">
        <v>54</v>
      </c>
      <c r="M40" s="1" t="s">
        <v>29</v>
      </c>
      <c r="N40" s="1">
        <v>63</v>
      </c>
      <c r="O40" s="1">
        <v>36</v>
      </c>
      <c r="P40" s="9">
        <f t="shared" si="4"/>
        <v>2268</v>
      </c>
      <c r="Q40" s="9">
        <v>0</v>
      </c>
      <c r="R40" s="33">
        <f t="shared" si="5"/>
        <v>2268</v>
      </c>
      <c r="S40" s="9">
        <f t="shared" si="3"/>
        <v>23</v>
      </c>
      <c r="T40" s="17">
        <f t="shared" si="2"/>
        <v>2245</v>
      </c>
      <c r="U40" s="2" t="s">
        <v>715</v>
      </c>
      <c r="V40" s="2"/>
      <c r="W40" s="2"/>
    </row>
    <row r="41" spans="1:23" x14ac:dyDescent="0.25">
      <c r="A41" s="1">
        <v>40</v>
      </c>
      <c r="B41" s="1">
        <v>182</v>
      </c>
      <c r="C41" s="1" t="e">
        <f>VLOOKUP(B41,[1]Interviewer!B$2:C$193,2,0)</f>
        <v>#N/A</v>
      </c>
      <c r="D41" s="2" t="s">
        <v>143</v>
      </c>
      <c r="E41" s="23" t="s">
        <v>144</v>
      </c>
      <c r="F41" s="4" t="s">
        <v>145</v>
      </c>
      <c r="G41" s="4" t="s">
        <v>45</v>
      </c>
      <c r="H41" s="4" t="s">
        <v>146</v>
      </c>
      <c r="I41" s="25" t="s">
        <v>147</v>
      </c>
      <c r="J41" s="1" t="s">
        <v>27</v>
      </c>
      <c r="K41" s="4">
        <v>6296775144</v>
      </c>
      <c r="L41" s="2" t="s">
        <v>54</v>
      </c>
      <c r="M41" s="1" t="s">
        <v>29</v>
      </c>
      <c r="N41" s="1">
        <v>10</v>
      </c>
      <c r="O41" s="1">
        <v>36</v>
      </c>
      <c r="P41" s="9">
        <f t="shared" si="4"/>
        <v>360</v>
      </c>
      <c r="Q41" s="9">
        <v>0</v>
      </c>
      <c r="R41" s="33">
        <f t="shared" si="5"/>
        <v>360</v>
      </c>
      <c r="S41" s="9">
        <f t="shared" si="3"/>
        <v>4</v>
      </c>
      <c r="T41" s="17">
        <f t="shared" si="2"/>
        <v>356</v>
      </c>
      <c r="U41" s="2" t="s">
        <v>715</v>
      </c>
      <c r="V41" s="2"/>
      <c r="W41" s="2"/>
    </row>
    <row r="42" spans="1:23" x14ac:dyDescent="0.25">
      <c r="A42" s="1">
        <v>41</v>
      </c>
      <c r="B42" s="1">
        <v>183</v>
      </c>
      <c r="C42" s="1" t="e">
        <f>VLOOKUP(B42,[1]Interviewer!B$2:C$193,2,0)</f>
        <v>#N/A</v>
      </c>
      <c r="D42" s="2" t="s">
        <v>498</v>
      </c>
      <c r="E42" s="23" t="s">
        <v>499</v>
      </c>
      <c r="F42" s="4" t="s">
        <v>500</v>
      </c>
      <c r="G42" s="4" t="s">
        <v>39</v>
      </c>
      <c r="H42" s="4" t="s">
        <v>501</v>
      </c>
      <c r="I42" s="25" t="s">
        <v>502</v>
      </c>
      <c r="J42" s="1" t="s">
        <v>27</v>
      </c>
      <c r="K42" s="4">
        <v>8391962390</v>
      </c>
      <c r="L42" s="2" t="s">
        <v>54</v>
      </c>
      <c r="M42" s="1" t="s">
        <v>29</v>
      </c>
      <c r="N42" s="1">
        <v>111</v>
      </c>
      <c r="O42" s="1">
        <v>36</v>
      </c>
      <c r="P42" s="9">
        <f t="shared" si="4"/>
        <v>3996</v>
      </c>
      <c r="Q42" s="9">
        <v>0</v>
      </c>
      <c r="R42" s="33">
        <f t="shared" si="5"/>
        <v>3996</v>
      </c>
      <c r="S42" s="9">
        <f t="shared" si="3"/>
        <v>40</v>
      </c>
      <c r="T42" s="17">
        <f t="shared" si="2"/>
        <v>3956</v>
      </c>
      <c r="U42" s="2" t="s">
        <v>722</v>
      </c>
      <c r="V42" s="2"/>
      <c r="W42" s="2"/>
    </row>
    <row r="43" spans="1:23" x14ac:dyDescent="0.25">
      <c r="A43" s="1">
        <v>42</v>
      </c>
      <c r="B43" s="1">
        <v>185</v>
      </c>
      <c r="C43" s="1" t="e">
        <f>VLOOKUP(B43,[1]Interviewer!B$2:C$193,2,0)</f>
        <v>#N/A</v>
      </c>
      <c r="D43" s="2" t="s">
        <v>148</v>
      </c>
      <c r="E43" s="23" t="s">
        <v>149</v>
      </c>
      <c r="F43" s="4" t="s">
        <v>150</v>
      </c>
      <c r="G43" s="4" t="s">
        <v>51</v>
      </c>
      <c r="H43" s="4" t="s">
        <v>151</v>
      </c>
      <c r="I43" s="25" t="s">
        <v>152</v>
      </c>
      <c r="J43" s="1" t="s">
        <v>27</v>
      </c>
      <c r="K43" s="4">
        <v>9641866821</v>
      </c>
      <c r="L43" s="2" t="s">
        <v>54</v>
      </c>
      <c r="M43" s="1" t="s">
        <v>29</v>
      </c>
      <c r="N43" s="1">
        <v>22</v>
      </c>
      <c r="O43" s="1">
        <v>36</v>
      </c>
      <c r="P43" s="9">
        <f t="shared" si="4"/>
        <v>792</v>
      </c>
      <c r="Q43" s="9">
        <v>0</v>
      </c>
      <c r="R43" s="33">
        <f t="shared" si="5"/>
        <v>792</v>
      </c>
      <c r="S43" s="9">
        <f t="shared" si="3"/>
        <v>8</v>
      </c>
      <c r="T43" s="17">
        <f t="shared" si="2"/>
        <v>784</v>
      </c>
      <c r="U43" s="2" t="s">
        <v>715</v>
      </c>
      <c r="V43" s="2"/>
      <c r="W43" s="2"/>
    </row>
    <row r="44" spans="1:23" x14ac:dyDescent="0.25">
      <c r="A44" s="1">
        <v>43</v>
      </c>
      <c r="B44" s="1">
        <v>187</v>
      </c>
      <c r="C44" s="1" t="e">
        <f>VLOOKUP(B44,[1]Interviewer!B$2:C$193,2,0)</f>
        <v>#N/A</v>
      </c>
      <c r="D44" s="2" t="s">
        <v>153</v>
      </c>
      <c r="E44" s="23" t="s">
        <v>154</v>
      </c>
      <c r="F44" s="4" t="s">
        <v>155</v>
      </c>
      <c r="G44" s="4" t="s">
        <v>51</v>
      </c>
      <c r="H44" s="4" t="s">
        <v>156</v>
      </c>
      <c r="I44" s="25" t="s">
        <v>157</v>
      </c>
      <c r="J44" s="1" t="s">
        <v>27</v>
      </c>
      <c r="K44" s="4">
        <v>8001116624</v>
      </c>
      <c r="L44" s="2" t="s">
        <v>54</v>
      </c>
      <c r="M44" s="1" t="s">
        <v>29</v>
      </c>
      <c r="N44" s="1">
        <v>10</v>
      </c>
      <c r="O44" s="1">
        <v>36</v>
      </c>
      <c r="P44" s="9">
        <f t="shared" si="4"/>
        <v>360</v>
      </c>
      <c r="Q44" s="9">
        <v>0</v>
      </c>
      <c r="R44" s="33">
        <f t="shared" si="5"/>
        <v>360</v>
      </c>
      <c r="S44" s="9">
        <f t="shared" si="3"/>
        <v>4</v>
      </c>
      <c r="T44" s="17">
        <f t="shared" si="2"/>
        <v>356</v>
      </c>
      <c r="U44" s="2" t="s">
        <v>715</v>
      </c>
      <c r="V44" s="2"/>
      <c r="W44" s="2"/>
    </row>
    <row r="45" spans="1:23" x14ac:dyDescent="0.25">
      <c r="A45" s="1">
        <v>44</v>
      </c>
      <c r="B45" s="1">
        <v>200</v>
      </c>
      <c r="C45" s="1" t="e">
        <f>VLOOKUP(B45,[1]Interviewer!B$2:C$193,2,0)</f>
        <v>#N/A</v>
      </c>
      <c r="D45" s="2" t="s">
        <v>767</v>
      </c>
      <c r="E45" s="23" t="s">
        <v>768</v>
      </c>
      <c r="F45" s="4" t="s">
        <v>769</v>
      </c>
      <c r="G45" s="4" t="s">
        <v>51</v>
      </c>
      <c r="H45" s="4" t="s">
        <v>770</v>
      </c>
      <c r="I45" s="25" t="s">
        <v>771</v>
      </c>
      <c r="J45" s="1" t="s">
        <v>735</v>
      </c>
      <c r="K45" s="4">
        <v>8697932944</v>
      </c>
      <c r="L45" s="2" t="s">
        <v>196</v>
      </c>
      <c r="M45" s="1" t="s">
        <v>164</v>
      </c>
      <c r="N45" s="1">
        <v>258</v>
      </c>
      <c r="O45" s="1">
        <v>36</v>
      </c>
      <c r="P45" s="9">
        <f t="shared" si="4"/>
        <v>9288</v>
      </c>
      <c r="Q45" s="9">
        <v>3500</v>
      </c>
      <c r="R45" s="9">
        <f t="shared" si="5"/>
        <v>5788</v>
      </c>
      <c r="S45" s="9">
        <v>0</v>
      </c>
      <c r="T45" s="17">
        <f t="shared" si="2"/>
        <v>5788</v>
      </c>
      <c r="U45" s="2" t="s">
        <v>736</v>
      </c>
      <c r="V45" s="2" t="s">
        <v>772</v>
      </c>
      <c r="W45" s="2"/>
    </row>
    <row r="46" spans="1:23" x14ac:dyDescent="0.25">
      <c r="A46" s="1">
        <v>45</v>
      </c>
      <c r="B46" s="1">
        <v>201</v>
      </c>
      <c r="C46" s="1" t="s">
        <v>716</v>
      </c>
      <c r="D46" s="2" t="s">
        <v>773</v>
      </c>
      <c r="E46" s="23" t="s">
        <v>774</v>
      </c>
      <c r="F46" s="4" t="s">
        <v>511</v>
      </c>
      <c r="G46" s="4" t="s">
        <v>33</v>
      </c>
      <c r="H46" s="4" t="s">
        <v>775</v>
      </c>
      <c r="I46" s="25" t="s">
        <v>776</v>
      </c>
      <c r="J46" s="1" t="s">
        <v>27</v>
      </c>
      <c r="K46" s="4">
        <v>8961897806</v>
      </c>
      <c r="L46" s="2" t="s">
        <v>196</v>
      </c>
      <c r="M46" s="1" t="s">
        <v>164</v>
      </c>
      <c r="N46" s="1">
        <v>39</v>
      </c>
      <c r="O46" s="1">
        <v>36</v>
      </c>
      <c r="P46" s="9">
        <f t="shared" si="4"/>
        <v>1404</v>
      </c>
      <c r="Q46" s="9">
        <v>0</v>
      </c>
      <c r="R46" s="9">
        <f t="shared" si="5"/>
        <v>1404</v>
      </c>
      <c r="S46" s="9">
        <f t="shared" si="3"/>
        <v>14</v>
      </c>
      <c r="T46" s="17">
        <f t="shared" si="2"/>
        <v>1390</v>
      </c>
      <c r="U46" s="2" t="s">
        <v>473</v>
      </c>
      <c r="V46" s="2" t="s">
        <v>772</v>
      </c>
      <c r="W46" s="2"/>
    </row>
    <row r="47" spans="1:23" x14ac:dyDescent="0.25">
      <c r="A47" s="1">
        <v>46</v>
      </c>
      <c r="B47" s="99">
        <v>202</v>
      </c>
      <c r="C47" s="1" t="s">
        <v>716</v>
      </c>
      <c r="D47" s="2" t="s">
        <v>744</v>
      </c>
      <c r="E47" s="3">
        <v>0</v>
      </c>
      <c r="F47" s="4">
        <v>0</v>
      </c>
      <c r="G47" s="4" t="s">
        <v>744</v>
      </c>
      <c r="H47" s="4">
        <v>0</v>
      </c>
      <c r="I47" s="4"/>
      <c r="J47" s="1"/>
      <c r="K47" s="100">
        <v>0</v>
      </c>
      <c r="L47" s="2" t="s">
        <v>777</v>
      </c>
      <c r="M47" s="99" t="s">
        <v>164</v>
      </c>
      <c r="N47" s="99">
        <v>18</v>
      </c>
      <c r="O47" s="99">
        <v>36</v>
      </c>
      <c r="P47" s="24">
        <f t="shared" si="4"/>
        <v>648</v>
      </c>
      <c r="Q47" s="24">
        <v>0</v>
      </c>
      <c r="R47" s="24">
        <f t="shared" si="5"/>
        <v>648</v>
      </c>
      <c r="S47" s="24">
        <f t="shared" si="3"/>
        <v>6</v>
      </c>
      <c r="T47" s="41">
        <f t="shared" si="2"/>
        <v>642</v>
      </c>
      <c r="U47" s="2" t="s">
        <v>730</v>
      </c>
      <c r="V47" s="2" t="s">
        <v>745</v>
      </c>
      <c r="W47" s="2"/>
    </row>
    <row r="48" spans="1:23" x14ac:dyDescent="0.25">
      <c r="A48" s="1">
        <v>47</v>
      </c>
      <c r="B48" s="99">
        <v>204</v>
      </c>
      <c r="C48" s="1" t="s">
        <v>716</v>
      </c>
      <c r="D48" s="2" t="s">
        <v>778</v>
      </c>
      <c r="E48" s="23" t="s">
        <v>779</v>
      </c>
      <c r="F48" s="4" t="s">
        <v>780</v>
      </c>
      <c r="G48" s="4" t="s">
        <v>45</v>
      </c>
      <c r="H48" s="4" t="s">
        <v>781</v>
      </c>
      <c r="I48" s="25" t="s">
        <v>782</v>
      </c>
      <c r="J48" s="1" t="s">
        <v>27</v>
      </c>
      <c r="K48" s="100">
        <v>0</v>
      </c>
      <c r="L48" s="2" t="s">
        <v>777</v>
      </c>
      <c r="M48" s="99" t="s">
        <v>164</v>
      </c>
      <c r="N48" s="99">
        <v>51</v>
      </c>
      <c r="O48" s="99">
        <v>36</v>
      </c>
      <c r="P48" s="24">
        <f t="shared" si="4"/>
        <v>1836</v>
      </c>
      <c r="Q48" s="24">
        <v>0</v>
      </c>
      <c r="R48" s="24">
        <f t="shared" si="5"/>
        <v>1836</v>
      </c>
      <c r="S48" s="24">
        <f t="shared" si="3"/>
        <v>18</v>
      </c>
      <c r="T48" s="41">
        <f t="shared" si="2"/>
        <v>1818</v>
      </c>
      <c r="U48" s="2" t="s">
        <v>473</v>
      </c>
      <c r="V48" s="2" t="s">
        <v>772</v>
      </c>
      <c r="W48" s="2"/>
    </row>
    <row r="49" spans="1:23" x14ac:dyDescent="0.25">
      <c r="A49" s="1">
        <v>48</v>
      </c>
      <c r="B49" s="1">
        <v>206</v>
      </c>
      <c r="C49" s="1" t="e">
        <f>VLOOKUP(B49,[1]Interviewer!B$2:C$193,2,0)</f>
        <v>#N/A</v>
      </c>
      <c r="D49" s="2" t="s">
        <v>503</v>
      </c>
      <c r="E49" s="3" t="s">
        <v>504</v>
      </c>
      <c r="F49" s="4" t="s">
        <v>505</v>
      </c>
      <c r="G49" s="4" t="s">
        <v>506</v>
      </c>
      <c r="H49" s="4" t="s">
        <v>507</v>
      </c>
      <c r="I49" s="25" t="s">
        <v>508</v>
      </c>
      <c r="J49" s="1" t="s">
        <v>27</v>
      </c>
      <c r="K49" s="4">
        <v>9875616165</v>
      </c>
      <c r="L49" s="2" t="s">
        <v>196</v>
      </c>
      <c r="M49" s="1" t="s">
        <v>164</v>
      </c>
      <c r="N49" s="1">
        <v>114</v>
      </c>
      <c r="O49" s="1">
        <v>36</v>
      </c>
      <c r="P49" s="9">
        <f t="shared" si="4"/>
        <v>4104</v>
      </c>
      <c r="Q49" s="9">
        <v>1000</v>
      </c>
      <c r="R49" s="33">
        <f t="shared" si="5"/>
        <v>3104</v>
      </c>
      <c r="S49" s="9">
        <f t="shared" si="3"/>
        <v>31</v>
      </c>
      <c r="T49" s="17">
        <f t="shared" si="2"/>
        <v>3073</v>
      </c>
      <c r="U49" s="2" t="s">
        <v>722</v>
      </c>
      <c r="V49" s="2"/>
      <c r="W49" s="2"/>
    </row>
    <row r="50" spans="1:23" x14ac:dyDescent="0.25">
      <c r="A50" s="1">
        <v>49</v>
      </c>
      <c r="B50" s="1">
        <v>210</v>
      </c>
      <c r="C50" s="1" t="e">
        <f>VLOOKUP(B50,[1]Interviewer!B$2:C$193,2,0)</f>
        <v>#N/A</v>
      </c>
      <c r="D50" s="2" t="s">
        <v>158</v>
      </c>
      <c r="E50" s="23" t="s">
        <v>159</v>
      </c>
      <c r="F50" s="4" t="s">
        <v>160</v>
      </c>
      <c r="G50" s="4" t="s">
        <v>24</v>
      </c>
      <c r="H50" s="4" t="s">
        <v>161</v>
      </c>
      <c r="I50" s="25" t="s">
        <v>162</v>
      </c>
      <c r="J50" s="1" t="s">
        <v>27</v>
      </c>
      <c r="K50" s="4">
        <v>8961956701</v>
      </c>
      <c r="L50" s="2" t="s">
        <v>163</v>
      </c>
      <c r="M50" s="1" t="s">
        <v>164</v>
      </c>
      <c r="N50" s="1">
        <v>382</v>
      </c>
      <c r="O50" s="1">
        <v>36</v>
      </c>
      <c r="P50" s="9">
        <f t="shared" si="4"/>
        <v>13752</v>
      </c>
      <c r="Q50" s="9">
        <v>4000</v>
      </c>
      <c r="R50" s="33">
        <f t="shared" si="5"/>
        <v>9752</v>
      </c>
      <c r="S50" s="9">
        <f t="shared" si="3"/>
        <v>98</v>
      </c>
      <c r="T50" s="17">
        <f t="shared" si="2"/>
        <v>9654</v>
      </c>
      <c r="U50" s="2" t="s">
        <v>715</v>
      </c>
      <c r="V50" s="2"/>
      <c r="W50" s="2"/>
    </row>
    <row r="51" spans="1:23" x14ac:dyDescent="0.25">
      <c r="A51" s="1">
        <v>50</v>
      </c>
      <c r="B51" s="1">
        <v>211</v>
      </c>
      <c r="C51" s="1" t="e">
        <f>VLOOKUP(B51,[1]Interviewer!B$2:C$193,2,0)</f>
        <v>#N/A</v>
      </c>
      <c r="D51" s="2" t="s">
        <v>165</v>
      </c>
      <c r="E51" s="23" t="s">
        <v>166</v>
      </c>
      <c r="F51" s="4" t="s">
        <v>167</v>
      </c>
      <c r="G51" s="4" t="s">
        <v>51</v>
      </c>
      <c r="H51" s="4" t="s">
        <v>168</v>
      </c>
      <c r="I51" s="25" t="s">
        <v>169</v>
      </c>
      <c r="J51" s="1" t="s">
        <v>27</v>
      </c>
      <c r="K51" s="4">
        <v>9153508491</v>
      </c>
      <c r="L51" s="2" t="s">
        <v>163</v>
      </c>
      <c r="M51" s="1" t="s">
        <v>164</v>
      </c>
      <c r="N51" s="1">
        <v>356</v>
      </c>
      <c r="O51" s="1">
        <v>36</v>
      </c>
      <c r="P51" s="9">
        <f t="shared" si="4"/>
        <v>12816</v>
      </c>
      <c r="Q51" s="9">
        <v>5000</v>
      </c>
      <c r="R51" s="33">
        <f t="shared" si="5"/>
        <v>7816</v>
      </c>
      <c r="S51" s="9">
        <f t="shared" si="3"/>
        <v>78</v>
      </c>
      <c r="T51" s="17">
        <f t="shared" si="2"/>
        <v>7738</v>
      </c>
      <c r="U51" s="2" t="s">
        <v>715</v>
      </c>
      <c r="V51" s="2"/>
      <c r="W51" s="2"/>
    </row>
    <row r="52" spans="1:23" x14ac:dyDescent="0.25">
      <c r="A52" s="1">
        <v>51</v>
      </c>
      <c r="B52" s="1">
        <v>212</v>
      </c>
      <c r="C52" s="1" t="e">
        <f>VLOOKUP(B52,[1]Interviewer!B$2:C$193,2,0)</f>
        <v>#N/A</v>
      </c>
      <c r="D52" s="2" t="s">
        <v>509</v>
      </c>
      <c r="E52" s="23" t="s">
        <v>510</v>
      </c>
      <c r="F52" s="4" t="s">
        <v>511</v>
      </c>
      <c r="G52" s="4" t="s">
        <v>24</v>
      </c>
      <c r="H52" s="4" t="s">
        <v>512</v>
      </c>
      <c r="I52" s="25" t="s">
        <v>513</v>
      </c>
      <c r="J52" s="1" t="s">
        <v>27</v>
      </c>
      <c r="K52" s="4">
        <v>7890197887</v>
      </c>
      <c r="L52" s="2" t="s">
        <v>163</v>
      </c>
      <c r="M52" s="1" t="s">
        <v>164</v>
      </c>
      <c r="N52" s="1">
        <v>23</v>
      </c>
      <c r="O52" s="1">
        <v>36</v>
      </c>
      <c r="P52" s="9">
        <f t="shared" si="4"/>
        <v>828</v>
      </c>
      <c r="Q52" s="9">
        <v>0</v>
      </c>
      <c r="R52" s="33">
        <f t="shared" si="5"/>
        <v>828</v>
      </c>
      <c r="S52" s="9">
        <f t="shared" si="3"/>
        <v>8</v>
      </c>
      <c r="T52" s="17">
        <f t="shared" si="2"/>
        <v>820</v>
      </c>
      <c r="U52" s="2" t="s">
        <v>722</v>
      </c>
      <c r="V52" s="2"/>
      <c r="W52" s="2"/>
    </row>
    <row r="53" spans="1:23" x14ac:dyDescent="0.25">
      <c r="A53" s="1">
        <v>52</v>
      </c>
      <c r="B53" s="1">
        <v>213</v>
      </c>
      <c r="C53" s="1" t="e">
        <f>VLOOKUP(B53,[1]Interviewer!B$2:C$193,2,0)</f>
        <v>#N/A</v>
      </c>
      <c r="D53" s="2" t="s">
        <v>170</v>
      </c>
      <c r="E53" s="3" t="s">
        <v>171</v>
      </c>
      <c r="F53" s="4" t="s">
        <v>172</v>
      </c>
      <c r="G53" s="4" t="s">
        <v>51</v>
      </c>
      <c r="H53" s="4" t="s">
        <v>173</v>
      </c>
      <c r="I53" s="25" t="s">
        <v>174</v>
      </c>
      <c r="J53" s="1" t="s">
        <v>27</v>
      </c>
      <c r="K53" s="4">
        <v>0</v>
      </c>
      <c r="L53" s="2" t="s">
        <v>163</v>
      </c>
      <c r="M53" s="1" t="s">
        <v>164</v>
      </c>
      <c r="N53" s="1">
        <v>156</v>
      </c>
      <c r="O53" s="1">
        <v>36</v>
      </c>
      <c r="P53" s="9">
        <f t="shared" si="4"/>
        <v>5616</v>
      </c>
      <c r="Q53" s="9">
        <v>1000</v>
      </c>
      <c r="R53" s="33">
        <f t="shared" si="5"/>
        <v>4616</v>
      </c>
      <c r="S53" s="9">
        <f t="shared" si="3"/>
        <v>46</v>
      </c>
      <c r="T53" s="17">
        <f t="shared" si="2"/>
        <v>4570</v>
      </c>
      <c r="U53" s="2" t="s">
        <v>715</v>
      </c>
      <c r="V53" s="2"/>
      <c r="W53" s="2"/>
    </row>
    <row r="54" spans="1:23" x14ac:dyDescent="0.25">
      <c r="A54" s="1">
        <v>53</v>
      </c>
      <c r="B54" s="1">
        <v>214</v>
      </c>
      <c r="C54" s="1" t="e">
        <f>VLOOKUP(B54,[1]Interviewer!B$2:C$193,2,0)</f>
        <v>#N/A</v>
      </c>
      <c r="D54" s="2" t="s">
        <v>175</v>
      </c>
      <c r="E54" s="23" t="s">
        <v>176</v>
      </c>
      <c r="F54" s="4" t="s">
        <v>177</v>
      </c>
      <c r="G54" s="4" t="s">
        <v>178</v>
      </c>
      <c r="H54" s="4" t="s">
        <v>179</v>
      </c>
      <c r="I54" s="25" t="s">
        <v>180</v>
      </c>
      <c r="J54" s="1" t="s">
        <v>27</v>
      </c>
      <c r="K54" s="4">
        <v>9088772663</v>
      </c>
      <c r="L54" s="2" t="s">
        <v>163</v>
      </c>
      <c r="M54" s="1" t="s">
        <v>164</v>
      </c>
      <c r="N54" s="1">
        <v>96</v>
      </c>
      <c r="O54" s="1">
        <v>36</v>
      </c>
      <c r="P54" s="9">
        <f t="shared" si="4"/>
        <v>3456</v>
      </c>
      <c r="Q54" s="9">
        <v>0</v>
      </c>
      <c r="R54" s="33">
        <f t="shared" si="5"/>
        <v>3456</v>
      </c>
      <c r="S54" s="9">
        <f t="shared" si="3"/>
        <v>35</v>
      </c>
      <c r="T54" s="17">
        <f t="shared" si="2"/>
        <v>3421</v>
      </c>
      <c r="U54" s="2" t="s">
        <v>715</v>
      </c>
      <c r="V54" s="2"/>
      <c r="W54" s="2"/>
    </row>
    <row r="55" spans="1:23" x14ac:dyDescent="0.25">
      <c r="A55" s="1">
        <v>54</v>
      </c>
      <c r="B55" s="1">
        <v>215</v>
      </c>
      <c r="C55" s="1" t="e">
        <f>VLOOKUP(B55,[1]Interviewer!B$2:C$193,2,0)</f>
        <v>#N/A</v>
      </c>
      <c r="D55" s="2" t="s">
        <v>181</v>
      </c>
      <c r="E55" s="23" t="s">
        <v>182</v>
      </c>
      <c r="F55" s="4" t="s">
        <v>183</v>
      </c>
      <c r="G55" s="4" t="s">
        <v>51</v>
      </c>
      <c r="H55" s="4" t="s">
        <v>184</v>
      </c>
      <c r="I55" s="25" t="s">
        <v>185</v>
      </c>
      <c r="J55" s="1" t="s">
        <v>27</v>
      </c>
      <c r="K55" s="4">
        <v>9163004867</v>
      </c>
      <c r="L55" s="2" t="s">
        <v>163</v>
      </c>
      <c r="M55" s="1" t="s">
        <v>164</v>
      </c>
      <c r="N55" s="1">
        <v>52</v>
      </c>
      <c r="O55" s="1">
        <v>36</v>
      </c>
      <c r="P55" s="9">
        <f t="shared" si="4"/>
        <v>1872</v>
      </c>
      <c r="Q55" s="9">
        <v>0</v>
      </c>
      <c r="R55" s="33">
        <f t="shared" si="5"/>
        <v>1872</v>
      </c>
      <c r="S55" s="9">
        <f t="shared" si="3"/>
        <v>19</v>
      </c>
      <c r="T55" s="17">
        <f t="shared" si="2"/>
        <v>1853</v>
      </c>
      <c r="U55" s="2" t="s">
        <v>715</v>
      </c>
      <c r="V55" s="2"/>
      <c r="W55" s="2"/>
    </row>
    <row r="56" spans="1:23" x14ac:dyDescent="0.25">
      <c r="A56" s="1">
        <v>55</v>
      </c>
      <c r="B56" s="1">
        <v>216</v>
      </c>
      <c r="C56" s="1" t="e">
        <f>VLOOKUP(B56,[1]Interviewer!B$2:C$193,2,0)</f>
        <v>#N/A</v>
      </c>
      <c r="D56" s="2" t="s">
        <v>514</v>
      </c>
      <c r="E56" s="3" t="s">
        <v>515</v>
      </c>
      <c r="F56" s="4" t="s">
        <v>516</v>
      </c>
      <c r="G56" s="4" t="s">
        <v>314</v>
      </c>
      <c r="H56" s="4" t="s">
        <v>517</v>
      </c>
      <c r="I56" s="25" t="s">
        <v>518</v>
      </c>
      <c r="J56" s="1" t="s">
        <v>27</v>
      </c>
      <c r="K56" s="4">
        <v>7603071386</v>
      </c>
      <c r="L56" s="2" t="s">
        <v>163</v>
      </c>
      <c r="M56" s="1" t="s">
        <v>164</v>
      </c>
      <c r="N56" s="1">
        <v>66</v>
      </c>
      <c r="O56" s="1">
        <v>36</v>
      </c>
      <c r="P56" s="9">
        <f t="shared" si="4"/>
        <v>2376</v>
      </c>
      <c r="Q56" s="9">
        <v>0</v>
      </c>
      <c r="R56" s="33">
        <f t="shared" si="5"/>
        <v>2376</v>
      </c>
      <c r="S56" s="9">
        <f t="shared" si="3"/>
        <v>24</v>
      </c>
      <c r="T56" s="17">
        <f t="shared" si="2"/>
        <v>2352</v>
      </c>
      <c r="U56" s="2" t="s">
        <v>722</v>
      </c>
      <c r="V56" s="2"/>
      <c r="W56" s="2"/>
    </row>
    <row r="57" spans="1:23" x14ac:dyDescent="0.25">
      <c r="A57" s="1">
        <v>56</v>
      </c>
      <c r="B57" s="1">
        <v>217</v>
      </c>
      <c r="C57" s="1" t="e">
        <f>VLOOKUP(B57,[1]Interviewer!B$2:C$193,2,0)</f>
        <v>#N/A</v>
      </c>
      <c r="D57" s="2" t="s">
        <v>186</v>
      </c>
      <c r="E57" s="23" t="s">
        <v>187</v>
      </c>
      <c r="F57" s="4" t="s">
        <v>188</v>
      </c>
      <c r="G57" s="4" t="s">
        <v>178</v>
      </c>
      <c r="H57" s="4" t="s">
        <v>189</v>
      </c>
      <c r="I57" s="25" t="s">
        <v>190</v>
      </c>
      <c r="J57" s="1" t="s">
        <v>27</v>
      </c>
      <c r="K57" s="4">
        <v>0</v>
      </c>
      <c r="L57" s="2" t="s">
        <v>163</v>
      </c>
      <c r="M57" s="1" t="s">
        <v>164</v>
      </c>
      <c r="N57" s="1">
        <v>37</v>
      </c>
      <c r="O57" s="1">
        <v>36</v>
      </c>
      <c r="P57" s="9">
        <f t="shared" si="4"/>
        <v>1332</v>
      </c>
      <c r="Q57" s="9">
        <v>0</v>
      </c>
      <c r="R57" s="33">
        <f t="shared" si="5"/>
        <v>1332</v>
      </c>
      <c r="S57" s="9">
        <f t="shared" si="3"/>
        <v>13</v>
      </c>
      <c r="T57" s="17">
        <f t="shared" si="2"/>
        <v>1319</v>
      </c>
      <c r="U57" s="2" t="s">
        <v>715</v>
      </c>
      <c r="V57" s="2"/>
      <c r="W57" s="2"/>
    </row>
    <row r="58" spans="1:23" x14ac:dyDescent="0.25">
      <c r="A58" s="1">
        <v>57</v>
      </c>
      <c r="B58" s="1">
        <v>219</v>
      </c>
      <c r="C58" s="1" t="e">
        <f>VLOOKUP(B58,[1]Interviewer!B$2:C$193,2,0)</f>
        <v>#N/A</v>
      </c>
      <c r="D58" s="2" t="s">
        <v>519</v>
      </c>
      <c r="E58" s="23" t="s">
        <v>520</v>
      </c>
      <c r="F58" s="4" t="s">
        <v>160</v>
      </c>
      <c r="G58" s="4" t="s">
        <v>24</v>
      </c>
      <c r="H58" s="4" t="s">
        <v>521</v>
      </c>
      <c r="I58" s="25" t="s">
        <v>522</v>
      </c>
      <c r="J58" s="1" t="s">
        <v>27</v>
      </c>
      <c r="K58" s="4">
        <v>0</v>
      </c>
      <c r="L58" s="2" t="s">
        <v>163</v>
      </c>
      <c r="M58" s="1" t="s">
        <v>164</v>
      </c>
      <c r="N58" s="1">
        <v>15</v>
      </c>
      <c r="O58" s="1">
        <v>36</v>
      </c>
      <c r="P58" s="9">
        <f t="shared" si="4"/>
        <v>540</v>
      </c>
      <c r="Q58" s="9">
        <v>0</v>
      </c>
      <c r="R58" s="33">
        <f t="shared" si="5"/>
        <v>540</v>
      </c>
      <c r="S58" s="9">
        <f t="shared" si="3"/>
        <v>5</v>
      </c>
      <c r="T58" s="17">
        <f t="shared" si="2"/>
        <v>535</v>
      </c>
      <c r="U58" s="2" t="s">
        <v>722</v>
      </c>
      <c r="V58" s="2"/>
      <c r="W58" s="2"/>
    </row>
    <row r="59" spans="1:23" x14ac:dyDescent="0.25">
      <c r="A59" s="1">
        <v>58</v>
      </c>
      <c r="B59" s="1">
        <v>224</v>
      </c>
      <c r="C59" s="1" t="e">
        <f>VLOOKUP(B59,[1]Interviewer!B$2:C$193,2,0)</f>
        <v>#N/A</v>
      </c>
      <c r="D59" s="2" t="s">
        <v>191</v>
      </c>
      <c r="E59" s="23" t="s">
        <v>192</v>
      </c>
      <c r="F59" s="4" t="s">
        <v>193</v>
      </c>
      <c r="G59" s="4" t="s">
        <v>51</v>
      </c>
      <c r="H59" s="4" t="s">
        <v>194</v>
      </c>
      <c r="I59" s="25" t="s">
        <v>195</v>
      </c>
      <c r="J59" s="1" t="s">
        <v>27</v>
      </c>
      <c r="K59" s="4">
        <v>7029464483</v>
      </c>
      <c r="L59" s="2" t="s">
        <v>196</v>
      </c>
      <c r="M59" s="1" t="s">
        <v>164</v>
      </c>
      <c r="N59" s="1">
        <v>324</v>
      </c>
      <c r="O59" s="1">
        <v>36</v>
      </c>
      <c r="P59" s="9">
        <f t="shared" si="4"/>
        <v>11664</v>
      </c>
      <c r="Q59" s="9">
        <v>1000</v>
      </c>
      <c r="R59" s="33">
        <f t="shared" si="5"/>
        <v>10664</v>
      </c>
      <c r="S59" s="9">
        <f t="shared" si="3"/>
        <v>107</v>
      </c>
      <c r="T59" s="17">
        <f t="shared" si="2"/>
        <v>10557</v>
      </c>
      <c r="U59" s="2" t="s">
        <v>715</v>
      </c>
      <c r="V59" s="2"/>
      <c r="W59" s="2"/>
    </row>
    <row r="60" spans="1:23" x14ac:dyDescent="0.25">
      <c r="A60" s="1">
        <v>59</v>
      </c>
      <c r="B60" s="1">
        <v>230</v>
      </c>
      <c r="C60" s="1" t="s">
        <v>716</v>
      </c>
      <c r="D60" s="2" t="s">
        <v>783</v>
      </c>
      <c r="E60" s="23" t="s">
        <v>784</v>
      </c>
      <c r="F60" s="4" t="s">
        <v>785</v>
      </c>
      <c r="G60" s="4" t="s">
        <v>337</v>
      </c>
      <c r="H60" s="4" t="s">
        <v>786</v>
      </c>
      <c r="I60" s="25" t="s">
        <v>787</v>
      </c>
      <c r="J60" s="1" t="s">
        <v>27</v>
      </c>
      <c r="K60" s="4">
        <v>9382482288</v>
      </c>
      <c r="L60" s="2" t="s">
        <v>202</v>
      </c>
      <c r="M60" s="1" t="s">
        <v>164</v>
      </c>
      <c r="N60" s="1">
        <v>72</v>
      </c>
      <c r="O60" s="1">
        <v>36</v>
      </c>
      <c r="P60" s="9">
        <f t="shared" si="4"/>
        <v>2592</v>
      </c>
      <c r="Q60" s="9">
        <v>0</v>
      </c>
      <c r="R60" s="9">
        <f t="shared" si="5"/>
        <v>2592</v>
      </c>
      <c r="S60" s="9">
        <f t="shared" si="3"/>
        <v>26</v>
      </c>
      <c r="T60" s="17">
        <f t="shared" si="2"/>
        <v>2566</v>
      </c>
      <c r="U60" s="2" t="s">
        <v>473</v>
      </c>
      <c r="V60" s="2" t="s">
        <v>772</v>
      </c>
      <c r="W60" s="2"/>
    </row>
    <row r="61" spans="1:23" x14ac:dyDescent="0.25">
      <c r="A61" s="1">
        <v>60</v>
      </c>
      <c r="B61" s="1">
        <v>231</v>
      </c>
      <c r="C61" s="1" t="e">
        <f>VLOOKUP(B61,[1]Interviewer!B$2:C$193,2,0)</f>
        <v>#N/A</v>
      </c>
      <c r="D61" s="2" t="s">
        <v>197</v>
      </c>
      <c r="E61" s="23" t="s">
        <v>198</v>
      </c>
      <c r="F61" s="4" t="s">
        <v>199</v>
      </c>
      <c r="G61" s="4" t="s">
        <v>51</v>
      </c>
      <c r="H61" s="4" t="s">
        <v>200</v>
      </c>
      <c r="I61" s="25" t="s">
        <v>201</v>
      </c>
      <c r="J61" s="1" t="s">
        <v>27</v>
      </c>
      <c r="K61" s="4">
        <v>8116597165</v>
      </c>
      <c r="L61" s="2" t="s">
        <v>202</v>
      </c>
      <c r="M61" s="1" t="s">
        <v>164</v>
      </c>
      <c r="N61" s="1">
        <v>255</v>
      </c>
      <c r="O61" s="1">
        <v>36</v>
      </c>
      <c r="P61" s="9">
        <f t="shared" si="4"/>
        <v>9180</v>
      </c>
      <c r="Q61" s="9">
        <v>3000</v>
      </c>
      <c r="R61" s="33">
        <f t="shared" si="5"/>
        <v>6180</v>
      </c>
      <c r="S61" s="9">
        <f t="shared" si="3"/>
        <v>62</v>
      </c>
      <c r="T61" s="17">
        <f t="shared" si="2"/>
        <v>6118</v>
      </c>
      <c r="U61" s="2" t="s">
        <v>715</v>
      </c>
      <c r="V61" s="2"/>
      <c r="W61" s="2"/>
    </row>
    <row r="62" spans="1:23" x14ac:dyDescent="0.25">
      <c r="A62" s="1">
        <v>61</v>
      </c>
      <c r="B62" s="1">
        <v>233</v>
      </c>
      <c r="C62" s="1" t="s">
        <v>716</v>
      </c>
      <c r="D62" s="2" t="s">
        <v>788</v>
      </c>
      <c r="E62" s="23" t="s">
        <v>789</v>
      </c>
      <c r="F62" s="4" t="s">
        <v>790</v>
      </c>
      <c r="G62" s="4" t="s">
        <v>337</v>
      </c>
      <c r="H62" s="4" t="s">
        <v>791</v>
      </c>
      <c r="I62" s="25" t="s">
        <v>792</v>
      </c>
      <c r="J62" s="1" t="s">
        <v>27</v>
      </c>
      <c r="K62" s="4">
        <v>9093966942</v>
      </c>
      <c r="L62" s="2" t="s">
        <v>202</v>
      </c>
      <c r="M62" s="1" t="s">
        <v>164</v>
      </c>
      <c r="N62" s="1">
        <v>52</v>
      </c>
      <c r="O62" s="1">
        <v>36</v>
      </c>
      <c r="P62" s="9">
        <f t="shared" si="4"/>
        <v>1872</v>
      </c>
      <c r="Q62" s="9">
        <v>1000</v>
      </c>
      <c r="R62" s="9">
        <f t="shared" si="5"/>
        <v>872</v>
      </c>
      <c r="S62" s="9">
        <f t="shared" si="3"/>
        <v>9</v>
      </c>
      <c r="T62" s="17">
        <f t="shared" si="2"/>
        <v>863</v>
      </c>
      <c r="U62" s="2" t="s">
        <v>473</v>
      </c>
      <c r="V62" s="2" t="s">
        <v>772</v>
      </c>
      <c r="W62" s="2"/>
    </row>
    <row r="63" spans="1:23" x14ac:dyDescent="0.25">
      <c r="A63" s="1">
        <v>62</v>
      </c>
      <c r="B63" s="1">
        <v>234</v>
      </c>
      <c r="C63" s="1" t="e">
        <f>VLOOKUP(B63,[1]Interviewer!B$2:C$193,2,0)</f>
        <v>#N/A</v>
      </c>
      <c r="D63" s="2" t="s">
        <v>523</v>
      </c>
      <c r="E63" s="23" t="s">
        <v>524</v>
      </c>
      <c r="F63" s="4" t="s">
        <v>525</v>
      </c>
      <c r="G63" s="4" t="s">
        <v>238</v>
      </c>
      <c r="H63" s="4" t="s">
        <v>526</v>
      </c>
      <c r="I63" s="25" t="s">
        <v>527</v>
      </c>
      <c r="J63" s="1" t="s">
        <v>27</v>
      </c>
      <c r="K63" s="4" t="s">
        <v>528</v>
      </c>
      <c r="L63" s="2" t="s">
        <v>202</v>
      </c>
      <c r="M63" s="1" t="s">
        <v>164</v>
      </c>
      <c r="N63" s="1">
        <v>122</v>
      </c>
      <c r="O63" s="1">
        <v>36</v>
      </c>
      <c r="P63" s="9">
        <f t="shared" si="4"/>
        <v>4392</v>
      </c>
      <c r="Q63" s="9">
        <v>0</v>
      </c>
      <c r="R63" s="33">
        <f t="shared" si="5"/>
        <v>4392</v>
      </c>
      <c r="S63" s="9">
        <f t="shared" si="3"/>
        <v>44</v>
      </c>
      <c r="T63" s="17">
        <f t="shared" si="2"/>
        <v>4348</v>
      </c>
      <c r="U63" s="2" t="s">
        <v>722</v>
      </c>
      <c r="V63" s="2"/>
      <c r="W63" s="2"/>
    </row>
    <row r="64" spans="1:23" x14ac:dyDescent="0.25">
      <c r="A64" s="1">
        <v>63</v>
      </c>
      <c r="B64" s="1">
        <v>235</v>
      </c>
      <c r="C64" s="1" t="e">
        <f>VLOOKUP(B64,[1]Interviewer!B$2:C$193,2,0)</f>
        <v>#N/A</v>
      </c>
      <c r="D64" s="2" t="s">
        <v>529</v>
      </c>
      <c r="E64" s="23" t="s">
        <v>530</v>
      </c>
      <c r="F64" s="4" t="s">
        <v>531</v>
      </c>
      <c r="G64" s="4" t="s">
        <v>45</v>
      </c>
      <c r="H64" s="4" t="s">
        <v>532</v>
      </c>
      <c r="I64" s="25" t="s">
        <v>533</v>
      </c>
      <c r="J64" s="1" t="s">
        <v>27</v>
      </c>
      <c r="K64" s="4">
        <v>7047690407</v>
      </c>
      <c r="L64" s="2" t="s">
        <v>202</v>
      </c>
      <c r="M64" s="1" t="s">
        <v>164</v>
      </c>
      <c r="N64" s="1">
        <v>46</v>
      </c>
      <c r="O64" s="1">
        <v>36</v>
      </c>
      <c r="P64" s="9">
        <f t="shared" si="4"/>
        <v>1656</v>
      </c>
      <c r="Q64" s="9">
        <v>0</v>
      </c>
      <c r="R64" s="33">
        <f t="shared" si="5"/>
        <v>1656</v>
      </c>
      <c r="S64" s="9">
        <f t="shared" si="3"/>
        <v>17</v>
      </c>
      <c r="T64" s="17">
        <f t="shared" si="2"/>
        <v>1639</v>
      </c>
      <c r="U64" s="2" t="s">
        <v>722</v>
      </c>
      <c r="V64" s="2"/>
      <c r="W64" s="2"/>
    </row>
    <row r="65" spans="1:23" x14ac:dyDescent="0.25">
      <c r="A65" s="1">
        <v>64</v>
      </c>
      <c r="B65" s="1">
        <v>236</v>
      </c>
      <c r="C65" s="1" t="e">
        <f>VLOOKUP(B65,[1]Interviewer!B$2:C$193,2,0)</f>
        <v>#N/A</v>
      </c>
      <c r="D65" s="2" t="s">
        <v>203</v>
      </c>
      <c r="E65" s="23" t="s">
        <v>204</v>
      </c>
      <c r="F65" s="4" t="s">
        <v>205</v>
      </c>
      <c r="G65" s="4" t="s">
        <v>51</v>
      </c>
      <c r="H65" s="4" t="s">
        <v>206</v>
      </c>
      <c r="I65" s="25" t="s">
        <v>207</v>
      </c>
      <c r="J65" s="1" t="s">
        <v>27</v>
      </c>
      <c r="K65" s="4">
        <v>8436364549</v>
      </c>
      <c r="L65" s="2" t="s">
        <v>202</v>
      </c>
      <c r="M65" s="1" t="s">
        <v>164</v>
      </c>
      <c r="N65" s="1">
        <v>416</v>
      </c>
      <c r="O65" s="1">
        <v>36</v>
      </c>
      <c r="P65" s="9">
        <f t="shared" si="4"/>
        <v>14976</v>
      </c>
      <c r="Q65" s="9">
        <v>3000</v>
      </c>
      <c r="R65" s="33">
        <f t="shared" si="5"/>
        <v>11976</v>
      </c>
      <c r="S65" s="9">
        <f t="shared" si="3"/>
        <v>120</v>
      </c>
      <c r="T65" s="17">
        <f t="shared" si="2"/>
        <v>11856</v>
      </c>
      <c r="U65" s="2" t="s">
        <v>715</v>
      </c>
      <c r="V65" s="2"/>
      <c r="W65" s="2"/>
    </row>
    <row r="66" spans="1:23" x14ac:dyDescent="0.25">
      <c r="A66" s="1">
        <v>65</v>
      </c>
      <c r="B66" s="1">
        <v>238</v>
      </c>
      <c r="C66" s="1" t="e">
        <f>VLOOKUP(B66,[1]Interviewer!B$2:C$193,2,0)</f>
        <v>#N/A</v>
      </c>
      <c r="D66" s="2" t="s">
        <v>534</v>
      </c>
      <c r="E66" s="23" t="s">
        <v>535</v>
      </c>
      <c r="F66" s="4" t="s">
        <v>536</v>
      </c>
      <c r="G66" s="4" t="s">
        <v>537</v>
      </c>
      <c r="H66" s="4" t="s">
        <v>538</v>
      </c>
      <c r="I66" s="25" t="s">
        <v>539</v>
      </c>
      <c r="J66" s="1" t="s">
        <v>27</v>
      </c>
      <c r="K66" s="4">
        <v>7029124700</v>
      </c>
      <c r="L66" s="2" t="s">
        <v>202</v>
      </c>
      <c r="M66" s="1" t="s">
        <v>164</v>
      </c>
      <c r="N66" s="1">
        <v>372</v>
      </c>
      <c r="O66" s="1">
        <v>36</v>
      </c>
      <c r="P66" s="9">
        <f t="shared" ref="P66:P97" si="6">N66*O66</f>
        <v>13392</v>
      </c>
      <c r="Q66" s="9">
        <v>1000</v>
      </c>
      <c r="R66" s="33">
        <f t="shared" ref="R66:R97" si="7">P66-Q66</f>
        <v>12392</v>
      </c>
      <c r="S66" s="9">
        <f t="shared" si="3"/>
        <v>124</v>
      </c>
      <c r="T66" s="17">
        <f t="shared" si="2"/>
        <v>12268</v>
      </c>
      <c r="U66" s="2" t="s">
        <v>722</v>
      </c>
      <c r="V66" s="2"/>
      <c r="W66" s="2"/>
    </row>
    <row r="67" spans="1:23" x14ac:dyDescent="0.25">
      <c r="A67" s="1">
        <v>66</v>
      </c>
      <c r="B67" s="1">
        <v>239</v>
      </c>
      <c r="C67" s="1" t="e">
        <f>VLOOKUP(B67,[1]Interviewer!B$2:C$193,2,0)</f>
        <v>#N/A</v>
      </c>
      <c r="D67" s="2" t="s">
        <v>208</v>
      </c>
      <c r="E67" s="23" t="s">
        <v>209</v>
      </c>
      <c r="F67" s="4" t="s">
        <v>210</v>
      </c>
      <c r="G67" s="4" t="s">
        <v>178</v>
      </c>
      <c r="H67" s="4" t="s">
        <v>211</v>
      </c>
      <c r="I67" s="25" t="s">
        <v>212</v>
      </c>
      <c r="J67" s="1" t="s">
        <v>27</v>
      </c>
      <c r="K67" s="4">
        <v>9749585424</v>
      </c>
      <c r="L67" s="2" t="s">
        <v>202</v>
      </c>
      <c r="M67" s="1" t="s">
        <v>164</v>
      </c>
      <c r="N67" s="1">
        <v>80</v>
      </c>
      <c r="O67" s="1">
        <v>36</v>
      </c>
      <c r="P67" s="9">
        <f t="shared" si="6"/>
        <v>2880</v>
      </c>
      <c r="Q67" s="9">
        <v>1000</v>
      </c>
      <c r="R67" s="33">
        <f t="shared" si="7"/>
        <v>1880</v>
      </c>
      <c r="S67" s="9">
        <f t="shared" ref="S67:S130" si="8">ROUND(R67*1%,0)</f>
        <v>19</v>
      </c>
      <c r="T67" s="17">
        <f t="shared" ref="T67:T130" si="9">R67-S67</f>
        <v>1861</v>
      </c>
      <c r="U67" s="2" t="s">
        <v>715</v>
      </c>
      <c r="V67" s="2"/>
      <c r="W67" s="2"/>
    </row>
    <row r="68" spans="1:23" x14ac:dyDescent="0.25">
      <c r="A68" s="1">
        <v>67</v>
      </c>
      <c r="B68" s="1">
        <v>241</v>
      </c>
      <c r="C68" s="1" t="s">
        <v>716</v>
      </c>
      <c r="D68" s="2" t="s">
        <v>793</v>
      </c>
      <c r="E68" s="23" t="s">
        <v>794</v>
      </c>
      <c r="F68" s="4" t="s">
        <v>795</v>
      </c>
      <c r="G68" s="4" t="s">
        <v>24</v>
      </c>
      <c r="H68" s="4" t="s">
        <v>796</v>
      </c>
      <c r="I68" s="25" t="s">
        <v>797</v>
      </c>
      <c r="J68" s="1" t="s">
        <v>27</v>
      </c>
      <c r="K68" s="4">
        <v>9547169458</v>
      </c>
      <c r="L68" s="2" t="s">
        <v>196</v>
      </c>
      <c r="M68" s="1" t="s">
        <v>164</v>
      </c>
      <c r="N68" s="1">
        <v>21</v>
      </c>
      <c r="O68" s="1">
        <v>36</v>
      </c>
      <c r="P68" s="9">
        <f t="shared" si="6"/>
        <v>756</v>
      </c>
      <c r="Q68" s="9">
        <v>0</v>
      </c>
      <c r="R68" s="9">
        <f t="shared" si="7"/>
        <v>756</v>
      </c>
      <c r="S68" s="9">
        <f t="shared" si="8"/>
        <v>8</v>
      </c>
      <c r="T68" s="17">
        <f t="shared" si="9"/>
        <v>748</v>
      </c>
      <c r="U68" s="2" t="s">
        <v>473</v>
      </c>
      <c r="V68" s="2" t="s">
        <v>772</v>
      </c>
      <c r="W68" s="2"/>
    </row>
    <row r="69" spans="1:23" x14ac:dyDescent="0.25">
      <c r="A69" s="1">
        <v>68</v>
      </c>
      <c r="B69" s="1">
        <v>242</v>
      </c>
      <c r="C69" s="1" t="s">
        <v>716</v>
      </c>
      <c r="D69" s="2" t="s">
        <v>798</v>
      </c>
      <c r="E69" s="23" t="s">
        <v>799</v>
      </c>
      <c r="F69" s="4" t="s">
        <v>800</v>
      </c>
      <c r="G69" s="4" t="s">
        <v>51</v>
      </c>
      <c r="H69" s="4" t="s">
        <v>801</v>
      </c>
      <c r="I69" s="25" t="s">
        <v>802</v>
      </c>
      <c r="J69" s="1" t="s">
        <v>735</v>
      </c>
      <c r="K69" s="4">
        <v>7679753988</v>
      </c>
      <c r="L69" s="2" t="s">
        <v>196</v>
      </c>
      <c r="M69" s="1" t="s">
        <v>164</v>
      </c>
      <c r="N69" s="1">
        <v>100</v>
      </c>
      <c r="O69" s="1">
        <v>36</v>
      </c>
      <c r="P69" s="9">
        <f t="shared" si="6"/>
        <v>3600</v>
      </c>
      <c r="Q69" s="9">
        <v>0</v>
      </c>
      <c r="R69" s="9">
        <f t="shared" si="7"/>
        <v>3600</v>
      </c>
      <c r="S69" s="9">
        <f>ROUND(R69*20%,0)</f>
        <v>720</v>
      </c>
      <c r="T69" s="17">
        <f t="shared" si="9"/>
        <v>2880</v>
      </c>
      <c r="U69" s="2" t="s">
        <v>736</v>
      </c>
      <c r="V69" s="2" t="s">
        <v>772</v>
      </c>
      <c r="W69" s="2"/>
    </row>
    <row r="70" spans="1:23" x14ac:dyDescent="0.25">
      <c r="A70" s="1">
        <v>69</v>
      </c>
      <c r="B70" s="1">
        <v>243</v>
      </c>
      <c r="C70" s="1" t="s">
        <v>716</v>
      </c>
      <c r="D70" s="2" t="s">
        <v>803</v>
      </c>
      <c r="E70" s="23" t="s">
        <v>804</v>
      </c>
      <c r="F70" s="4" t="s">
        <v>805</v>
      </c>
      <c r="G70" s="4" t="s">
        <v>314</v>
      </c>
      <c r="H70" s="4" t="s">
        <v>806</v>
      </c>
      <c r="I70" s="25" t="s">
        <v>807</v>
      </c>
      <c r="J70" s="1" t="s">
        <v>27</v>
      </c>
      <c r="K70" s="4">
        <v>0</v>
      </c>
      <c r="L70" s="2" t="s">
        <v>196</v>
      </c>
      <c r="M70" s="1" t="s">
        <v>164</v>
      </c>
      <c r="N70" s="1">
        <v>13</v>
      </c>
      <c r="O70" s="1">
        <v>36</v>
      </c>
      <c r="P70" s="9">
        <f t="shared" si="6"/>
        <v>468</v>
      </c>
      <c r="Q70" s="9">
        <v>0</v>
      </c>
      <c r="R70" s="9">
        <f t="shared" si="7"/>
        <v>468</v>
      </c>
      <c r="S70" s="9">
        <f t="shared" si="8"/>
        <v>5</v>
      </c>
      <c r="T70" s="17">
        <f t="shared" si="9"/>
        <v>463</v>
      </c>
      <c r="U70" s="2" t="s">
        <v>473</v>
      </c>
      <c r="V70" s="2" t="s">
        <v>745</v>
      </c>
      <c r="W70" s="2"/>
    </row>
    <row r="71" spans="1:23" x14ac:dyDescent="0.25">
      <c r="A71" s="1">
        <v>70</v>
      </c>
      <c r="B71" s="1">
        <v>244</v>
      </c>
      <c r="C71" s="1" t="e">
        <f>VLOOKUP(B71,[1]Interviewer!B$2:C$193,2,0)</f>
        <v>#N/A</v>
      </c>
      <c r="D71" s="2" t="s">
        <v>808</v>
      </c>
      <c r="E71" s="23" t="s">
        <v>809</v>
      </c>
      <c r="F71" s="4" t="s">
        <v>810</v>
      </c>
      <c r="G71" s="4" t="s">
        <v>24</v>
      </c>
      <c r="H71" s="4" t="s">
        <v>811</v>
      </c>
      <c r="I71" s="25" t="s">
        <v>812</v>
      </c>
      <c r="J71" s="1" t="s">
        <v>735</v>
      </c>
      <c r="K71" s="4">
        <v>9433763340</v>
      </c>
      <c r="L71" s="2" t="s">
        <v>196</v>
      </c>
      <c r="M71" s="1" t="s">
        <v>164</v>
      </c>
      <c r="N71" s="1">
        <v>46</v>
      </c>
      <c r="O71" s="1">
        <v>36</v>
      </c>
      <c r="P71" s="9">
        <f t="shared" si="6"/>
        <v>1656</v>
      </c>
      <c r="Q71" s="9">
        <v>0</v>
      </c>
      <c r="R71" s="9">
        <f t="shared" si="7"/>
        <v>1656</v>
      </c>
      <c r="S71" s="9">
        <v>0</v>
      </c>
      <c r="T71" s="17">
        <f t="shared" si="9"/>
        <v>1656</v>
      </c>
      <c r="U71" s="2" t="s">
        <v>736</v>
      </c>
      <c r="V71" s="2" t="s">
        <v>772</v>
      </c>
      <c r="W71" s="2"/>
    </row>
    <row r="72" spans="1:23" x14ac:dyDescent="0.25">
      <c r="A72" s="1">
        <v>71</v>
      </c>
      <c r="B72" s="1">
        <v>245</v>
      </c>
      <c r="C72" s="1" t="s">
        <v>716</v>
      </c>
      <c r="D72" s="2" t="s">
        <v>813</v>
      </c>
      <c r="E72" s="23" t="s">
        <v>814</v>
      </c>
      <c r="F72" s="4" t="s">
        <v>452</v>
      </c>
      <c r="G72" s="4" t="s">
        <v>58</v>
      </c>
      <c r="H72" s="4" t="s">
        <v>815</v>
      </c>
      <c r="I72" s="25" t="s">
        <v>816</v>
      </c>
      <c r="J72" s="1" t="s">
        <v>27</v>
      </c>
      <c r="K72" s="4">
        <v>8582816075</v>
      </c>
      <c r="L72" s="2" t="s">
        <v>196</v>
      </c>
      <c r="M72" s="1" t="s">
        <v>164</v>
      </c>
      <c r="N72" s="1">
        <v>56</v>
      </c>
      <c r="O72" s="1">
        <v>36</v>
      </c>
      <c r="P72" s="9">
        <f t="shared" si="6"/>
        <v>2016</v>
      </c>
      <c r="Q72" s="9">
        <v>0</v>
      </c>
      <c r="R72" s="9">
        <f t="shared" si="7"/>
        <v>2016</v>
      </c>
      <c r="S72" s="9">
        <f t="shared" si="8"/>
        <v>20</v>
      </c>
      <c r="T72" s="17">
        <f t="shared" si="9"/>
        <v>1996</v>
      </c>
      <c r="U72" s="2" t="s">
        <v>473</v>
      </c>
      <c r="V72" s="2" t="s">
        <v>772</v>
      </c>
      <c r="W72" s="2"/>
    </row>
    <row r="73" spans="1:23" x14ac:dyDescent="0.25">
      <c r="A73" s="1">
        <v>72</v>
      </c>
      <c r="B73" s="1">
        <v>247</v>
      </c>
      <c r="C73" s="1" t="e">
        <f>VLOOKUP(B73,[1]Interviewer!B$2:C$193,2,0)</f>
        <v>#N/A</v>
      </c>
      <c r="D73" s="2" t="s">
        <v>817</v>
      </c>
      <c r="E73" s="3">
        <v>20326045881</v>
      </c>
      <c r="F73" s="4" t="s">
        <v>818</v>
      </c>
      <c r="G73" s="4" t="s">
        <v>819</v>
      </c>
      <c r="H73" s="4" t="s">
        <v>820</v>
      </c>
      <c r="I73" s="4"/>
      <c r="J73" s="1"/>
      <c r="K73" s="4">
        <v>7050240720</v>
      </c>
      <c r="L73" s="2" t="s">
        <v>196</v>
      </c>
      <c r="M73" s="1" t="s">
        <v>164</v>
      </c>
      <c r="N73" s="1">
        <v>76</v>
      </c>
      <c r="O73" s="1">
        <v>36</v>
      </c>
      <c r="P73" s="9">
        <f t="shared" si="6"/>
        <v>2736</v>
      </c>
      <c r="Q73" s="9">
        <v>0</v>
      </c>
      <c r="R73" s="9">
        <f t="shared" si="7"/>
        <v>2736</v>
      </c>
      <c r="S73" s="9">
        <f t="shared" si="8"/>
        <v>27</v>
      </c>
      <c r="T73" s="17">
        <f t="shared" si="9"/>
        <v>2709</v>
      </c>
      <c r="U73" s="2" t="s">
        <v>730</v>
      </c>
      <c r="V73" s="2" t="s">
        <v>772</v>
      </c>
      <c r="W73" s="2"/>
    </row>
    <row r="74" spans="1:23" x14ac:dyDescent="0.25">
      <c r="A74" s="1">
        <v>73</v>
      </c>
      <c r="B74" s="1">
        <v>248</v>
      </c>
      <c r="C74" s="1" t="e">
        <f>VLOOKUP(B74,[1]Interviewer!B$2:C$193,2,0)</f>
        <v>#N/A</v>
      </c>
      <c r="D74" s="2" t="s">
        <v>540</v>
      </c>
      <c r="E74" s="23" t="s">
        <v>541</v>
      </c>
      <c r="F74" s="4" t="s">
        <v>542</v>
      </c>
      <c r="G74" s="4" t="s">
        <v>51</v>
      </c>
      <c r="H74" s="4" t="s">
        <v>543</v>
      </c>
      <c r="I74" s="25" t="s">
        <v>544</v>
      </c>
      <c r="J74" s="1" t="s">
        <v>27</v>
      </c>
      <c r="K74" s="4">
        <v>9635204567</v>
      </c>
      <c r="L74" s="2" t="s">
        <v>196</v>
      </c>
      <c r="M74" s="1" t="s">
        <v>164</v>
      </c>
      <c r="N74" s="1">
        <v>164</v>
      </c>
      <c r="O74" s="1">
        <v>36</v>
      </c>
      <c r="P74" s="9">
        <f t="shared" si="6"/>
        <v>5904</v>
      </c>
      <c r="Q74" s="9">
        <v>0</v>
      </c>
      <c r="R74" s="33">
        <f t="shared" si="7"/>
        <v>5904</v>
      </c>
      <c r="S74" s="9">
        <f t="shared" si="8"/>
        <v>59</v>
      </c>
      <c r="T74" s="17">
        <f t="shared" si="9"/>
        <v>5845</v>
      </c>
      <c r="U74" s="2" t="s">
        <v>722</v>
      </c>
      <c r="V74" s="2"/>
      <c r="W74" s="2"/>
    </row>
    <row r="75" spans="1:23" x14ac:dyDescent="0.25">
      <c r="A75" s="1">
        <v>74</v>
      </c>
      <c r="B75" s="1">
        <v>249</v>
      </c>
      <c r="C75" s="1" t="e">
        <f>VLOOKUP(B75,[1]Interviewer!B$2:C$193,2,0)</f>
        <v>#N/A</v>
      </c>
      <c r="D75" s="2" t="s">
        <v>545</v>
      </c>
      <c r="E75" s="23" t="s">
        <v>546</v>
      </c>
      <c r="F75" s="4" t="s">
        <v>547</v>
      </c>
      <c r="G75" s="4" t="s">
        <v>45</v>
      </c>
      <c r="H75" s="4" t="s">
        <v>548</v>
      </c>
      <c r="I75" s="25" t="s">
        <v>549</v>
      </c>
      <c r="J75" s="1" t="s">
        <v>27</v>
      </c>
      <c r="K75" s="4">
        <v>7699797470</v>
      </c>
      <c r="L75" s="2" t="s">
        <v>196</v>
      </c>
      <c r="M75" s="1" t="s">
        <v>164</v>
      </c>
      <c r="N75" s="1">
        <v>18</v>
      </c>
      <c r="O75" s="1">
        <v>36</v>
      </c>
      <c r="P75" s="9">
        <f t="shared" si="6"/>
        <v>648</v>
      </c>
      <c r="Q75" s="9">
        <v>0</v>
      </c>
      <c r="R75" s="33">
        <f t="shared" si="7"/>
        <v>648</v>
      </c>
      <c r="S75" s="9">
        <f t="shared" si="8"/>
        <v>6</v>
      </c>
      <c r="T75" s="17">
        <f t="shared" si="9"/>
        <v>642</v>
      </c>
      <c r="U75" s="2" t="s">
        <v>722</v>
      </c>
      <c r="V75" s="2"/>
      <c r="W75" s="2"/>
    </row>
    <row r="76" spans="1:23" x14ac:dyDescent="0.25">
      <c r="A76" s="1">
        <v>75</v>
      </c>
      <c r="B76" s="1">
        <v>251</v>
      </c>
      <c r="C76" s="1" t="e">
        <f>VLOOKUP(B76,[1]Interviewer!B$2:C$193,2,0)</f>
        <v>#N/A</v>
      </c>
      <c r="D76" s="2" t="s">
        <v>213</v>
      </c>
      <c r="E76" s="23" t="s">
        <v>214</v>
      </c>
      <c r="F76" s="4" t="s">
        <v>215</v>
      </c>
      <c r="G76" s="4" t="s">
        <v>51</v>
      </c>
      <c r="H76" s="4" t="s">
        <v>216</v>
      </c>
      <c r="I76" s="25" t="s">
        <v>217</v>
      </c>
      <c r="J76" s="1" t="s">
        <v>27</v>
      </c>
      <c r="K76" s="4">
        <v>6295310194</v>
      </c>
      <c r="L76" s="2" t="s">
        <v>196</v>
      </c>
      <c r="M76" s="1" t="s">
        <v>164</v>
      </c>
      <c r="N76" s="1">
        <v>15</v>
      </c>
      <c r="O76" s="1">
        <v>36</v>
      </c>
      <c r="P76" s="9">
        <f t="shared" si="6"/>
        <v>540</v>
      </c>
      <c r="Q76" s="9">
        <v>0</v>
      </c>
      <c r="R76" s="33">
        <f t="shared" si="7"/>
        <v>540</v>
      </c>
      <c r="S76" s="9">
        <f t="shared" si="8"/>
        <v>5</v>
      </c>
      <c r="T76" s="17">
        <f t="shared" si="9"/>
        <v>535</v>
      </c>
      <c r="U76" s="2" t="s">
        <v>715</v>
      </c>
      <c r="V76" s="2"/>
      <c r="W76" s="2"/>
    </row>
    <row r="77" spans="1:23" x14ac:dyDescent="0.25">
      <c r="A77" s="1">
        <v>76</v>
      </c>
      <c r="B77" s="1">
        <v>261</v>
      </c>
      <c r="C77" s="1" t="e">
        <f>VLOOKUP(B77,[1]Interviewer!B$2:C$193,2,0)</f>
        <v>#N/A</v>
      </c>
      <c r="D77" s="2" t="s">
        <v>550</v>
      </c>
      <c r="E77" s="23" t="s">
        <v>551</v>
      </c>
      <c r="F77" s="4" t="s">
        <v>135</v>
      </c>
      <c r="G77" s="4" t="s">
        <v>45</v>
      </c>
      <c r="H77" s="4" t="s">
        <v>552</v>
      </c>
      <c r="I77" s="25" t="s">
        <v>553</v>
      </c>
      <c r="J77" s="1" t="s">
        <v>27</v>
      </c>
      <c r="K77" s="4">
        <v>9233706588</v>
      </c>
      <c r="L77" s="2" t="s">
        <v>223</v>
      </c>
      <c r="M77" s="1" t="s">
        <v>164</v>
      </c>
      <c r="N77" s="1">
        <v>101</v>
      </c>
      <c r="O77" s="1">
        <v>36</v>
      </c>
      <c r="P77" s="9">
        <f t="shared" si="6"/>
        <v>3636</v>
      </c>
      <c r="Q77" s="9">
        <v>1000</v>
      </c>
      <c r="R77" s="33">
        <f t="shared" si="7"/>
        <v>2636</v>
      </c>
      <c r="S77" s="9">
        <f t="shared" si="8"/>
        <v>26</v>
      </c>
      <c r="T77" s="17">
        <f t="shared" si="9"/>
        <v>2610</v>
      </c>
      <c r="U77" s="2" t="s">
        <v>722</v>
      </c>
      <c r="V77" s="2"/>
      <c r="W77" s="2"/>
    </row>
    <row r="78" spans="1:23" x14ac:dyDescent="0.25">
      <c r="A78" s="1">
        <v>77</v>
      </c>
      <c r="B78" s="1">
        <v>262</v>
      </c>
      <c r="C78" s="1" t="e">
        <f>VLOOKUP(B78,[1]Interviewer!B$2:C$193,2,0)</f>
        <v>#N/A</v>
      </c>
      <c r="D78" s="2" t="s">
        <v>821</v>
      </c>
      <c r="E78" s="23" t="s">
        <v>822</v>
      </c>
      <c r="F78" s="4" t="s">
        <v>823</v>
      </c>
      <c r="G78" s="4" t="s">
        <v>24</v>
      </c>
      <c r="H78" s="4" t="s">
        <v>824</v>
      </c>
      <c r="I78" s="25" t="s">
        <v>825</v>
      </c>
      <c r="J78" s="1" t="s">
        <v>735</v>
      </c>
      <c r="K78" s="4">
        <v>0</v>
      </c>
      <c r="L78" s="2" t="s">
        <v>223</v>
      </c>
      <c r="M78" s="1" t="s">
        <v>164</v>
      </c>
      <c r="N78" s="1">
        <v>79</v>
      </c>
      <c r="O78" s="1">
        <v>36</v>
      </c>
      <c r="P78" s="9">
        <f t="shared" si="6"/>
        <v>2844</v>
      </c>
      <c r="Q78" s="9">
        <v>1500</v>
      </c>
      <c r="R78" s="9">
        <f t="shared" si="7"/>
        <v>1344</v>
      </c>
      <c r="S78" s="9">
        <v>0</v>
      </c>
      <c r="T78" s="17">
        <f t="shared" si="9"/>
        <v>1344</v>
      </c>
      <c r="U78" s="2" t="s">
        <v>736</v>
      </c>
      <c r="V78" s="2" t="s">
        <v>772</v>
      </c>
      <c r="W78" s="2"/>
    </row>
    <row r="79" spans="1:23" x14ac:dyDescent="0.25">
      <c r="A79" s="1">
        <v>78</v>
      </c>
      <c r="B79" s="1">
        <v>263</v>
      </c>
      <c r="C79" s="1" t="e">
        <f>VLOOKUP(B79,[1]Interviewer!B$2:C$193,2,0)</f>
        <v>#N/A</v>
      </c>
      <c r="D79" s="2" t="s">
        <v>218</v>
      </c>
      <c r="E79" s="23" t="s">
        <v>219</v>
      </c>
      <c r="F79" s="4" t="s">
        <v>220</v>
      </c>
      <c r="G79" s="4" t="s">
        <v>24</v>
      </c>
      <c r="H79" s="4" t="s">
        <v>221</v>
      </c>
      <c r="I79" s="25" t="s">
        <v>222</v>
      </c>
      <c r="J79" s="1" t="s">
        <v>27</v>
      </c>
      <c r="K79" s="4">
        <v>7439867940</v>
      </c>
      <c r="L79" s="2" t="s">
        <v>223</v>
      </c>
      <c r="M79" s="1" t="s">
        <v>164</v>
      </c>
      <c r="N79" s="1">
        <v>114</v>
      </c>
      <c r="O79" s="1">
        <v>36</v>
      </c>
      <c r="P79" s="9">
        <f t="shared" si="6"/>
        <v>4104</v>
      </c>
      <c r="Q79" s="9">
        <v>1000</v>
      </c>
      <c r="R79" s="33">
        <f t="shared" si="7"/>
        <v>3104</v>
      </c>
      <c r="S79" s="9">
        <f t="shared" si="8"/>
        <v>31</v>
      </c>
      <c r="T79" s="17">
        <f t="shared" si="9"/>
        <v>3073</v>
      </c>
      <c r="U79" s="2" t="s">
        <v>715</v>
      </c>
      <c r="V79" s="2"/>
      <c r="W79" s="2"/>
    </row>
    <row r="80" spans="1:23" x14ac:dyDescent="0.25">
      <c r="A80" s="1">
        <v>79</v>
      </c>
      <c r="B80" s="1">
        <v>264</v>
      </c>
      <c r="C80" s="1" t="e">
        <f>VLOOKUP(B80,[1]Interviewer!B$2:C$193,2,0)</f>
        <v>#N/A</v>
      </c>
      <c r="D80" s="2" t="s">
        <v>224</v>
      </c>
      <c r="E80" s="23" t="s">
        <v>225</v>
      </c>
      <c r="F80" s="4" t="s">
        <v>114</v>
      </c>
      <c r="G80" s="4" t="s">
        <v>178</v>
      </c>
      <c r="H80" s="4" t="s">
        <v>226</v>
      </c>
      <c r="I80" s="25" t="s">
        <v>227</v>
      </c>
      <c r="J80" s="1" t="s">
        <v>27</v>
      </c>
      <c r="K80" s="4">
        <v>0</v>
      </c>
      <c r="L80" s="2" t="s">
        <v>223</v>
      </c>
      <c r="M80" s="1" t="s">
        <v>164</v>
      </c>
      <c r="N80" s="1">
        <v>47</v>
      </c>
      <c r="O80" s="1">
        <v>36</v>
      </c>
      <c r="P80" s="9">
        <f t="shared" si="6"/>
        <v>1692</v>
      </c>
      <c r="Q80" s="9">
        <v>1200</v>
      </c>
      <c r="R80" s="33">
        <f t="shared" si="7"/>
        <v>492</v>
      </c>
      <c r="S80" s="9">
        <f t="shared" si="8"/>
        <v>5</v>
      </c>
      <c r="T80" s="17">
        <f t="shared" si="9"/>
        <v>487</v>
      </c>
      <c r="U80" s="2" t="s">
        <v>715</v>
      </c>
      <c r="V80" s="2"/>
      <c r="W80" s="2"/>
    </row>
    <row r="81" spans="1:23" x14ac:dyDescent="0.25">
      <c r="A81" s="1">
        <v>80</v>
      </c>
      <c r="B81" s="1">
        <v>267</v>
      </c>
      <c r="C81" s="1" t="e">
        <f>VLOOKUP(B81,[1]Interviewer!B$2:C$193,2,0)</f>
        <v>#N/A</v>
      </c>
      <c r="D81" s="2" t="s">
        <v>826</v>
      </c>
      <c r="E81" s="23" t="s">
        <v>827</v>
      </c>
      <c r="F81" s="4" t="s">
        <v>828</v>
      </c>
      <c r="G81" s="4" t="s">
        <v>829</v>
      </c>
      <c r="H81" s="4" t="s">
        <v>830</v>
      </c>
      <c r="I81" s="25" t="s">
        <v>831</v>
      </c>
      <c r="J81" s="1" t="s">
        <v>735</v>
      </c>
      <c r="K81" s="4">
        <v>9804346228</v>
      </c>
      <c r="L81" s="2" t="s">
        <v>223</v>
      </c>
      <c r="M81" s="1" t="s">
        <v>164</v>
      </c>
      <c r="N81" s="1">
        <v>45</v>
      </c>
      <c r="O81" s="1">
        <v>36</v>
      </c>
      <c r="P81" s="9">
        <f t="shared" si="6"/>
        <v>1620</v>
      </c>
      <c r="Q81" s="9">
        <v>1300</v>
      </c>
      <c r="R81" s="9">
        <f t="shared" si="7"/>
        <v>320</v>
      </c>
      <c r="S81" s="9">
        <v>0</v>
      </c>
      <c r="T81" s="17">
        <f t="shared" si="9"/>
        <v>320</v>
      </c>
      <c r="U81" s="2" t="s">
        <v>736</v>
      </c>
      <c r="V81" s="2" t="s">
        <v>772</v>
      </c>
      <c r="W81" s="2"/>
    </row>
    <row r="82" spans="1:23" x14ac:dyDescent="0.25">
      <c r="A82" s="1">
        <v>81</v>
      </c>
      <c r="B82" s="99">
        <v>268</v>
      </c>
      <c r="C82" s="1" t="e">
        <f>VLOOKUP(B82,[1]Interviewer!B$2:C$193,2,0)</f>
        <v>#N/A</v>
      </c>
      <c r="D82" s="2" t="s">
        <v>744</v>
      </c>
      <c r="E82" s="3">
        <v>0</v>
      </c>
      <c r="F82" s="4">
        <v>0</v>
      </c>
      <c r="G82" s="4" t="s">
        <v>744</v>
      </c>
      <c r="H82" s="4">
        <v>0</v>
      </c>
      <c r="I82" s="4"/>
      <c r="J82" s="1"/>
      <c r="K82" s="100">
        <v>0</v>
      </c>
      <c r="L82" s="2" t="s">
        <v>223</v>
      </c>
      <c r="M82" s="99" t="s">
        <v>164</v>
      </c>
      <c r="N82" s="99">
        <v>4</v>
      </c>
      <c r="O82" s="99">
        <v>36</v>
      </c>
      <c r="P82" s="24">
        <f t="shared" si="6"/>
        <v>144</v>
      </c>
      <c r="Q82" s="24">
        <v>0</v>
      </c>
      <c r="R82" s="24">
        <f t="shared" si="7"/>
        <v>144</v>
      </c>
      <c r="S82" s="24">
        <f t="shared" si="8"/>
        <v>1</v>
      </c>
      <c r="T82" s="41">
        <f t="shared" si="9"/>
        <v>143</v>
      </c>
      <c r="U82" s="2" t="s">
        <v>730</v>
      </c>
      <c r="V82" s="2" t="s">
        <v>745</v>
      </c>
      <c r="W82" s="2"/>
    </row>
    <row r="83" spans="1:23" x14ac:dyDescent="0.25">
      <c r="A83" s="1">
        <v>82</v>
      </c>
      <c r="B83" s="1">
        <v>280</v>
      </c>
      <c r="C83" s="1" t="e">
        <f>VLOOKUP(B83,[1]Interviewer!B$2:C$193,2,0)</f>
        <v>#N/A</v>
      </c>
      <c r="D83" s="2" t="s">
        <v>554</v>
      </c>
      <c r="E83" s="23" t="s">
        <v>555</v>
      </c>
      <c r="F83" s="4" t="s">
        <v>193</v>
      </c>
      <c r="G83" s="4" t="s">
        <v>51</v>
      </c>
      <c r="H83" s="4" t="s">
        <v>556</v>
      </c>
      <c r="I83" s="25" t="s">
        <v>557</v>
      </c>
      <c r="J83" s="1" t="s">
        <v>27</v>
      </c>
      <c r="K83" s="4">
        <v>7076054257</v>
      </c>
      <c r="L83" s="2" t="s">
        <v>196</v>
      </c>
      <c r="M83" s="1" t="s">
        <v>164</v>
      </c>
      <c r="N83" s="1">
        <v>59</v>
      </c>
      <c r="O83" s="1">
        <v>36</v>
      </c>
      <c r="P83" s="9">
        <f t="shared" si="6"/>
        <v>2124</v>
      </c>
      <c r="Q83" s="9">
        <v>0</v>
      </c>
      <c r="R83" s="33">
        <f t="shared" si="7"/>
        <v>2124</v>
      </c>
      <c r="S83" s="9">
        <f t="shared" si="8"/>
        <v>21</v>
      </c>
      <c r="T83" s="17">
        <f t="shared" si="9"/>
        <v>2103</v>
      </c>
      <c r="U83" s="2" t="s">
        <v>722</v>
      </c>
      <c r="V83" s="2"/>
      <c r="W83" s="2"/>
    </row>
    <row r="84" spans="1:23" x14ac:dyDescent="0.25">
      <c r="A84" s="1">
        <v>83</v>
      </c>
      <c r="B84" s="1">
        <v>301</v>
      </c>
      <c r="C84" s="1" t="e">
        <f>VLOOKUP(B84,[1]Interviewer!B$2:C$193,2,0)</f>
        <v>#N/A</v>
      </c>
      <c r="D84" s="2" t="s">
        <v>228</v>
      </c>
      <c r="E84" s="23" t="s">
        <v>229</v>
      </c>
      <c r="F84" s="4" t="s">
        <v>230</v>
      </c>
      <c r="G84" s="4" t="s">
        <v>51</v>
      </c>
      <c r="H84" s="4" t="s">
        <v>231</v>
      </c>
      <c r="I84" s="25" t="s">
        <v>232</v>
      </c>
      <c r="J84" s="1" t="s">
        <v>27</v>
      </c>
      <c r="K84" s="4">
        <v>8017648519</v>
      </c>
      <c r="L84" s="2" t="s">
        <v>233</v>
      </c>
      <c r="M84" s="1" t="s">
        <v>234</v>
      </c>
      <c r="N84" s="1">
        <v>346</v>
      </c>
      <c r="O84" s="1">
        <v>36</v>
      </c>
      <c r="P84" s="9">
        <f t="shared" si="6"/>
        <v>12456</v>
      </c>
      <c r="Q84" s="9">
        <v>2000</v>
      </c>
      <c r="R84" s="9">
        <f t="shared" si="7"/>
        <v>10456</v>
      </c>
      <c r="S84" s="9">
        <f t="shared" si="8"/>
        <v>105</v>
      </c>
      <c r="T84" s="17">
        <f t="shared" si="9"/>
        <v>10351</v>
      </c>
      <c r="U84" s="2" t="s">
        <v>715</v>
      </c>
      <c r="V84" s="2"/>
      <c r="W84" s="2"/>
    </row>
    <row r="85" spans="1:23" x14ac:dyDescent="0.25">
      <c r="A85" s="1">
        <v>84</v>
      </c>
      <c r="B85" s="1">
        <v>303</v>
      </c>
      <c r="C85" s="1" t="e">
        <f>VLOOKUP(B85,[1]Interviewer!B$2:C$193,2,0)</f>
        <v>#N/A</v>
      </c>
      <c r="D85" s="2" t="s">
        <v>235</v>
      </c>
      <c r="E85" s="23" t="s">
        <v>236</v>
      </c>
      <c r="F85" s="4" t="s">
        <v>237</v>
      </c>
      <c r="G85" s="4" t="s">
        <v>238</v>
      </c>
      <c r="H85" s="4" t="s">
        <v>239</v>
      </c>
      <c r="I85" s="25" t="s">
        <v>240</v>
      </c>
      <c r="J85" s="1" t="s">
        <v>27</v>
      </c>
      <c r="K85" s="4">
        <v>8910229724</v>
      </c>
      <c r="L85" s="2" t="s">
        <v>233</v>
      </c>
      <c r="M85" s="1" t="s">
        <v>234</v>
      </c>
      <c r="N85" s="1">
        <v>156</v>
      </c>
      <c r="O85" s="1">
        <v>36</v>
      </c>
      <c r="P85" s="9">
        <f t="shared" si="6"/>
        <v>5616</v>
      </c>
      <c r="Q85" s="9">
        <v>3000</v>
      </c>
      <c r="R85" s="9">
        <f t="shared" si="7"/>
        <v>2616</v>
      </c>
      <c r="S85" s="9">
        <f t="shared" si="8"/>
        <v>26</v>
      </c>
      <c r="T85" s="17">
        <f t="shared" si="9"/>
        <v>2590</v>
      </c>
      <c r="U85" s="2" t="s">
        <v>715</v>
      </c>
      <c r="V85" s="2"/>
      <c r="W85" s="2"/>
    </row>
    <row r="86" spans="1:23" x14ac:dyDescent="0.25">
      <c r="A86" s="1">
        <v>85</v>
      </c>
      <c r="B86" s="1">
        <v>316</v>
      </c>
      <c r="C86" s="1" t="e">
        <f>VLOOKUP(B86,[1]Interviewer!B$2:C$193,2,0)</f>
        <v>#N/A</v>
      </c>
      <c r="D86" s="2" t="s">
        <v>241</v>
      </c>
      <c r="E86" s="23" t="s">
        <v>242</v>
      </c>
      <c r="F86" s="4" t="s">
        <v>243</v>
      </c>
      <c r="G86" s="4" t="s">
        <v>45</v>
      </c>
      <c r="H86" s="4" t="s">
        <v>244</v>
      </c>
      <c r="I86" s="25" t="s">
        <v>245</v>
      </c>
      <c r="J86" s="1" t="s">
        <v>27</v>
      </c>
      <c r="K86" s="4">
        <v>9749089863</v>
      </c>
      <c r="L86" s="2" t="s">
        <v>246</v>
      </c>
      <c r="M86" s="1" t="s">
        <v>234</v>
      </c>
      <c r="N86" s="1">
        <v>405</v>
      </c>
      <c r="O86" s="1">
        <v>36</v>
      </c>
      <c r="P86" s="9">
        <f t="shared" si="6"/>
        <v>14580</v>
      </c>
      <c r="Q86" s="9">
        <v>2500</v>
      </c>
      <c r="R86" s="9">
        <f t="shared" si="7"/>
        <v>12080</v>
      </c>
      <c r="S86" s="9">
        <f t="shared" si="8"/>
        <v>121</v>
      </c>
      <c r="T86" s="17">
        <f t="shared" si="9"/>
        <v>11959</v>
      </c>
      <c r="U86" s="2" t="s">
        <v>715</v>
      </c>
      <c r="V86" s="2"/>
      <c r="W86" s="2"/>
    </row>
    <row r="87" spans="1:23" x14ac:dyDescent="0.25">
      <c r="A87" s="1">
        <v>86</v>
      </c>
      <c r="B87" s="1">
        <v>317</v>
      </c>
      <c r="C87" s="1" t="e">
        <f>VLOOKUP(B87,[1]Interviewer!B$2:C$193,2,0)</f>
        <v>#N/A</v>
      </c>
      <c r="D87" s="2" t="s">
        <v>247</v>
      </c>
      <c r="E87" s="23" t="s">
        <v>248</v>
      </c>
      <c r="F87" s="4" t="s">
        <v>249</v>
      </c>
      <c r="G87" s="4" t="s">
        <v>24</v>
      </c>
      <c r="H87" s="4" t="s">
        <v>250</v>
      </c>
      <c r="I87" s="25" t="s">
        <v>251</v>
      </c>
      <c r="J87" s="1" t="s">
        <v>27</v>
      </c>
      <c r="K87" s="4">
        <v>9382564941</v>
      </c>
      <c r="L87" s="2" t="s">
        <v>246</v>
      </c>
      <c r="M87" s="1" t="s">
        <v>234</v>
      </c>
      <c r="N87" s="1">
        <v>56</v>
      </c>
      <c r="O87" s="1">
        <v>36</v>
      </c>
      <c r="P87" s="9">
        <f t="shared" si="6"/>
        <v>2016</v>
      </c>
      <c r="Q87" s="9">
        <v>500</v>
      </c>
      <c r="R87" s="9">
        <f t="shared" si="7"/>
        <v>1516</v>
      </c>
      <c r="S87" s="9">
        <f t="shared" si="8"/>
        <v>15</v>
      </c>
      <c r="T87" s="17">
        <f t="shared" si="9"/>
        <v>1501</v>
      </c>
      <c r="U87" s="2" t="s">
        <v>715</v>
      </c>
      <c r="V87" s="2"/>
      <c r="W87" s="2"/>
    </row>
    <row r="88" spans="1:23" x14ac:dyDescent="0.25">
      <c r="A88" s="1">
        <v>87</v>
      </c>
      <c r="B88" s="1">
        <v>318</v>
      </c>
      <c r="C88" s="1" t="e">
        <f>VLOOKUP(B88,[1]Interviewer!B$2:C$193,2,0)</f>
        <v>#N/A</v>
      </c>
      <c r="D88" s="2" t="s">
        <v>252</v>
      </c>
      <c r="E88" s="23" t="s">
        <v>253</v>
      </c>
      <c r="F88" s="4" t="s">
        <v>254</v>
      </c>
      <c r="G88" s="4" t="s">
        <v>51</v>
      </c>
      <c r="H88" s="4" t="s">
        <v>255</v>
      </c>
      <c r="I88" s="25" t="s">
        <v>256</v>
      </c>
      <c r="J88" s="1" t="s">
        <v>27</v>
      </c>
      <c r="K88" s="4">
        <v>8101032036</v>
      </c>
      <c r="L88" s="2" t="s">
        <v>246</v>
      </c>
      <c r="M88" s="1" t="s">
        <v>234</v>
      </c>
      <c r="N88" s="1">
        <v>97</v>
      </c>
      <c r="O88" s="1">
        <v>36</v>
      </c>
      <c r="P88" s="9">
        <f t="shared" si="6"/>
        <v>3492</v>
      </c>
      <c r="Q88" s="9">
        <v>1000</v>
      </c>
      <c r="R88" s="9">
        <f t="shared" si="7"/>
        <v>2492</v>
      </c>
      <c r="S88" s="9">
        <f t="shared" si="8"/>
        <v>25</v>
      </c>
      <c r="T88" s="17">
        <f t="shared" si="9"/>
        <v>2467</v>
      </c>
      <c r="U88" s="2" t="s">
        <v>715</v>
      </c>
      <c r="V88" s="2"/>
      <c r="W88" s="2"/>
    </row>
    <row r="89" spans="1:23" x14ac:dyDescent="0.25">
      <c r="A89" s="1">
        <v>88</v>
      </c>
      <c r="B89" s="1">
        <v>319</v>
      </c>
      <c r="C89" s="1" t="e">
        <f>VLOOKUP(B89,[1]Interviewer!B$2:C$193,2,0)</f>
        <v>#N/A</v>
      </c>
      <c r="D89" s="2" t="s">
        <v>257</v>
      </c>
      <c r="E89" s="23" t="s">
        <v>258</v>
      </c>
      <c r="F89" s="4" t="s">
        <v>259</v>
      </c>
      <c r="G89" s="4" t="s">
        <v>51</v>
      </c>
      <c r="H89" s="4" t="s">
        <v>260</v>
      </c>
      <c r="I89" s="25" t="s">
        <v>261</v>
      </c>
      <c r="J89" s="1" t="s">
        <v>27</v>
      </c>
      <c r="K89" s="4">
        <v>8167594511</v>
      </c>
      <c r="L89" s="2" t="s">
        <v>246</v>
      </c>
      <c r="M89" s="1" t="s">
        <v>234</v>
      </c>
      <c r="N89" s="1">
        <v>176</v>
      </c>
      <c r="O89" s="1">
        <v>36</v>
      </c>
      <c r="P89" s="9">
        <f t="shared" si="6"/>
        <v>6336</v>
      </c>
      <c r="Q89" s="9">
        <v>1500</v>
      </c>
      <c r="R89" s="9">
        <f t="shared" si="7"/>
        <v>4836</v>
      </c>
      <c r="S89" s="9">
        <f t="shared" si="8"/>
        <v>48</v>
      </c>
      <c r="T89" s="17">
        <f t="shared" si="9"/>
        <v>4788</v>
      </c>
      <c r="U89" s="2" t="s">
        <v>715</v>
      </c>
      <c r="V89" s="2"/>
      <c r="W89" s="2"/>
    </row>
    <row r="90" spans="1:23" x14ac:dyDescent="0.25">
      <c r="A90" s="1">
        <v>89</v>
      </c>
      <c r="B90" s="1">
        <v>320</v>
      </c>
      <c r="C90" s="1" t="e">
        <f>VLOOKUP(B90,[1]Interviewer!B$2:C$193,2,0)</f>
        <v>#N/A</v>
      </c>
      <c r="D90" s="2" t="s">
        <v>262</v>
      </c>
      <c r="E90" s="23" t="s">
        <v>263</v>
      </c>
      <c r="F90" s="4" t="s">
        <v>264</v>
      </c>
      <c r="G90" s="4" t="s">
        <v>265</v>
      </c>
      <c r="H90" s="4" t="s">
        <v>266</v>
      </c>
      <c r="I90" s="25" t="s">
        <v>267</v>
      </c>
      <c r="J90" s="1" t="s">
        <v>27</v>
      </c>
      <c r="K90" s="4">
        <v>9064677214</v>
      </c>
      <c r="L90" s="2" t="s">
        <v>246</v>
      </c>
      <c r="M90" s="1" t="s">
        <v>234</v>
      </c>
      <c r="N90" s="1">
        <v>196</v>
      </c>
      <c r="O90" s="1">
        <v>36</v>
      </c>
      <c r="P90" s="9">
        <f t="shared" si="6"/>
        <v>7056</v>
      </c>
      <c r="Q90" s="9">
        <v>1500</v>
      </c>
      <c r="R90" s="9">
        <f t="shared" si="7"/>
        <v>5556</v>
      </c>
      <c r="S90" s="9">
        <f t="shared" si="8"/>
        <v>56</v>
      </c>
      <c r="T90" s="17">
        <f t="shared" si="9"/>
        <v>5500</v>
      </c>
      <c r="U90" s="2" t="s">
        <v>715</v>
      </c>
      <c r="V90" s="2"/>
      <c r="W90" s="2"/>
    </row>
    <row r="91" spans="1:23" x14ac:dyDescent="0.25">
      <c r="A91" s="1">
        <v>90</v>
      </c>
      <c r="B91" s="1">
        <v>321</v>
      </c>
      <c r="C91" s="1" t="e">
        <f>VLOOKUP(B91,[1]Interviewer!B$2:C$193,2,0)</f>
        <v>#N/A</v>
      </c>
      <c r="D91" s="2" t="s">
        <v>268</v>
      </c>
      <c r="E91" s="3" t="s">
        <v>269</v>
      </c>
      <c r="F91" s="4" t="s">
        <v>270</v>
      </c>
      <c r="G91" s="4" t="s">
        <v>51</v>
      </c>
      <c r="H91" s="4" t="s">
        <v>271</v>
      </c>
      <c r="I91" s="25" t="s">
        <v>272</v>
      </c>
      <c r="J91" s="1" t="s">
        <v>27</v>
      </c>
      <c r="K91" s="4">
        <v>8001044877</v>
      </c>
      <c r="L91" s="2" t="s">
        <v>246</v>
      </c>
      <c r="M91" s="1" t="s">
        <v>234</v>
      </c>
      <c r="N91" s="1">
        <v>120</v>
      </c>
      <c r="O91" s="1">
        <v>36</v>
      </c>
      <c r="P91" s="9">
        <f t="shared" si="6"/>
        <v>4320</v>
      </c>
      <c r="Q91" s="9">
        <v>1000</v>
      </c>
      <c r="R91" s="9">
        <f t="shared" si="7"/>
        <v>3320</v>
      </c>
      <c r="S91" s="9">
        <f t="shared" si="8"/>
        <v>33</v>
      </c>
      <c r="T91" s="17">
        <f t="shared" si="9"/>
        <v>3287</v>
      </c>
      <c r="U91" s="2" t="s">
        <v>715</v>
      </c>
      <c r="V91" s="2"/>
      <c r="W91" s="2"/>
    </row>
    <row r="92" spans="1:23" x14ac:dyDescent="0.25">
      <c r="A92" s="1">
        <v>91</v>
      </c>
      <c r="B92" s="1">
        <v>322</v>
      </c>
      <c r="C92" s="1" t="e">
        <f>VLOOKUP(B92,[1]Interviewer!B$2:C$193,2,0)</f>
        <v>#N/A</v>
      </c>
      <c r="D92" s="2" t="s">
        <v>273</v>
      </c>
      <c r="E92" s="23" t="s">
        <v>274</v>
      </c>
      <c r="F92" s="4" t="s">
        <v>270</v>
      </c>
      <c r="G92" s="4" t="s">
        <v>51</v>
      </c>
      <c r="H92" s="4" t="s">
        <v>275</v>
      </c>
      <c r="I92" s="25" t="s">
        <v>276</v>
      </c>
      <c r="J92" s="1" t="s">
        <v>27</v>
      </c>
      <c r="K92" s="4">
        <v>7908901954</v>
      </c>
      <c r="L92" s="2" t="s">
        <v>246</v>
      </c>
      <c r="M92" s="1" t="s">
        <v>234</v>
      </c>
      <c r="N92" s="1">
        <v>357</v>
      </c>
      <c r="O92" s="1">
        <v>36</v>
      </c>
      <c r="P92" s="9">
        <f t="shared" si="6"/>
        <v>12852</v>
      </c>
      <c r="Q92" s="9">
        <v>3000</v>
      </c>
      <c r="R92" s="9">
        <f t="shared" si="7"/>
        <v>9852</v>
      </c>
      <c r="S92" s="9">
        <f t="shared" si="8"/>
        <v>99</v>
      </c>
      <c r="T92" s="17">
        <f t="shared" si="9"/>
        <v>9753</v>
      </c>
      <c r="U92" s="2" t="s">
        <v>715</v>
      </c>
      <c r="V92" s="2"/>
      <c r="W92" s="2"/>
    </row>
    <row r="93" spans="1:23" x14ac:dyDescent="0.25">
      <c r="A93" s="1">
        <v>92</v>
      </c>
      <c r="B93" s="1">
        <v>323</v>
      </c>
      <c r="C93" s="1" t="e">
        <f>VLOOKUP(B93,[1]Interviewer!B$2:C$193,2,0)</f>
        <v>#N/A</v>
      </c>
      <c r="D93" s="2" t="s">
        <v>277</v>
      </c>
      <c r="E93" s="23" t="s">
        <v>278</v>
      </c>
      <c r="F93" s="4" t="s">
        <v>279</v>
      </c>
      <c r="G93" s="4" t="s">
        <v>45</v>
      </c>
      <c r="H93" s="4" t="s">
        <v>280</v>
      </c>
      <c r="I93" s="25" t="s">
        <v>281</v>
      </c>
      <c r="J93" s="1" t="s">
        <v>27</v>
      </c>
      <c r="K93" s="4">
        <v>7718128693</v>
      </c>
      <c r="L93" s="2" t="s">
        <v>246</v>
      </c>
      <c r="M93" s="1" t="s">
        <v>234</v>
      </c>
      <c r="N93" s="1">
        <v>264</v>
      </c>
      <c r="O93" s="1">
        <v>36</v>
      </c>
      <c r="P93" s="9">
        <f t="shared" si="6"/>
        <v>9504</v>
      </c>
      <c r="Q93" s="9">
        <v>2500</v>
      </c>
      <c r="R93" s="9">
        <f t="shared" si="7"/>
        <v>7004</v>
      </c>
      <c r="S93" s="9">
        <f t="shared" si="8"/>
        <v>70</v>
      </c>
      <c r="T93" s="17">
        <f t="shared" si="9"/>
        <v>6934</v>
      </c>
      <c r="U93" s="2" t="s">
        <v>715</v>
      </c>
      <c r="V93" s="2"/>
      <c r="W93" s="2"/>
    </row>
    <row r="94" spans="1:23" x14ac:dyDescent="0.25">
      <c r="A94" s="1">
        <v>93</v>
      </c>
      <c r="B94" s="1">
        <v>324</v>
      </c>
      <c r="C94" s="1" t="e">
        <f>VLOOKUP(B94,[1]Interviewer!B$2:C$193,2,0)</f>
        <v>#N/A</v>
      </c>
      <c r="D94" s="2" t="s">
        <v>282</v>
      </c>
      <c r="E94" s="23" t="s">
        <v>283</v>
      </c>
      <c r="F94" s="4" t="s">
        <v>284</v>
      </c>
      <c r="G94" s="4" t="s">
        <v>51</v>
      </c>
      <c r="H94" s="4" t="s">
        <v>285</v>
      </c>
      <c r="I94" s="25" t="s">
        <v>286</v>
      </c>
      <c r="J94" s="1" t="s">
        <v>27</v>
      </c>
      <c r="K94" s="4">
        <v>9609480230</v>
      </c>
      <c r="L94" s="2" t="s">
        <v>246</v>
      </c>
      <c r="M94" s="1" t="s">
        <v>234</v>
      </c>
      <c r="N94" s="1">
        <v>263</v>
      </c>
      <c r="O94" s="1">
        <v>36</v>
      </c>
      <c r="P94" s="9">
        <f t="shared" si="6"/>
        <v>9468</v>
      </c>
      <c r="Q94" s="9">
        <v>2000</v>
      </c>
      <c r="R94" s="9">
        <f t="shared" si="7"/>
        <v>7468</v>
      </c>
      <c r="S94" s="9">
        <f t="shared" si="8"/>
        <v>75</v>
      </c>
      <c r="T94" s="17">
        <f t="shared" si="9"/>
        <v>7393</v>
      </c>
      <c r="U94" s="2" t="s">
        <v>715</v>
      </c>
      <c r="V94" s="2"/>
      <c r="W94" s="2"/>
    </row>
    <row r="95" spans="1:23" x14ac:dyDescent="0.25">
      <c r="A95" s="1">
        <v>94</v>
      </c>
      <c r="B95" s="1">
        <v>325</v>
      </c>
      <c r="C95" s="1" t="e">
        <f>VLOOKUP(B95,[1]Interviewer!B$2:C$193,2,0)</f>
        <v>#N/A</v>
      </c>
      <c r="D95" s="2" t="s">
        <v>287</v>
      </c>
      <c r="E95" s="23" t="s">
        <v>288</v>
      </c>
      <c r="F95" s="4" t="s">
        <v>289</v>
      </c>
      <c r="G95" s="4" t="s">
        <v>51</v>
      </c>
      <c r="H95" s="4" t="s">
        <v>290</v>
      </c>
      <c r="I95" s="25" t="s">
        <v>291</v>
      </c>
      <c r="J95" s="1" t="s">
        <v>27</v>
      </c>
      <c r="K95" s="4">
        <v>8906241716</v>
      </c>
      <c r="L95" s="2" t="s">
        <v>246</v>
      </c>
      <c r="M95" s="1" t="s">
        <v>234</v>
      </c>
      <c r="N95" s="1">
        <v>17</v>
      </c>
      <c r="O95" s="1">
        <v>36</v>
      </c>
      <c r="P95" s="9">
        <f t="shared" si="6"/>
        <v>612</v>
      </c>
      <c r="Q95" s="9">
        <v>0</v>
      </c>
      <c r="R95" s="9">
        <f t="shared" si="7"/>
        <v>612</v>
      </c>
      <c r="S95" s="9">
        <f t="shared" si="8"/>
        <v>6</v>
      </c>
      <c r="T95" s="17">
        <f t="shared" si="9"/>
        <v>606</v>
      </c>
      <c r="U95" s="2" t="s">
        <v>715</v>
      </c>
      <c r="V95" s="2"/>
      <c r="W95" s="2"/>
    </row>
    <row r="96" spans="1:23" x14ac:dyDescent="0.25">
      <c r="A96" s="1">
        <v>95</v>
      </c>
      <c r="B96" s="1">
        <v>326</v>
      </c>
      <c r="C96" s="1" t="s">
        <v>716</v>
      </c>
      <c r="D96" s="2" t="s">
        <v>832</v>
      </c>
      <c r="E96" s="23" t="s">
        <v>833</v>
      </c>
      <c r="F96" s="4" t="s">
        <v>834</v>
      </c>
      <c r="G96" s="4" t="s">
        <v>51</v>
      </c>
      <c r="H96" s="4" t="s">
        <v>835</v>
      </c>
      <c r="I96" s="25" t="s">
        <v>836</v>
      </c>
      <c r="J96" s="1" t="s">
        <v>27</v>
      </c>
      <c r="K96" s="4">
        <v>9064021154</v>
      </c>
      <c r="L96" s="2" t="s">
        <v>246</v>
      </c>
      <c r="M96" s="1" t="s">
        <v>234</v>
      </c>
      <c r="N96" s="1">
        <v>47</v>
      </c>
      <c r="O96" s="1">
        <v>36</v>
      </c>
      <c r="P96" s="9">
        <f t="shared" si="6"/>
        <v>1692</v>
      </c>
      <c r="Q96" s="9">
        <v>0</v>
      </c>
      <c r="R96" s="9">
        <f t="shared" si="7"/>
        <v>1692</v>
      </c>
      <c r="S96" s="9">
        <f t="shared" si="8"/>
        <v>17</v>
      </c>
      <c r="T96" s="17">
        <f t="shared" si="9"/>
        <v>1675</v>
      </c>
      <c r="U96" s="2" t="s">
        <v>473</v>
      </c>
      <c r="V96" s="2" t="s">
        <v>745</v>
      </c>
      <c r="W96" s="2"/>
    </row>
    <row r="97" spans="1:23" x14ac:dyDescent="0.25">
      <c r="A97" s="1">
        <v>96</v>
      </c>
      <c r="B97" s="1">
        <v>327</v>
      </c>
      <c r="C97" s="1" t="e">
        <f>VLOOKUP(B97,[1]Interviewer!B$2:C$193,2,0)</f>
        <v>#N/A</v>
      </c>
      <c r="D97" s="2" t="s">
        <v>292</v>
      </c>
      <c r="E97" s="23" t="s">
        <v>293</v>
      </c>
      <c r="F97" s="4" t="s">
        <v>294</v>
      </c>
      <c r="G97" s="4" t="s">
        <v>45</v>
      </c>
      <c r="H97" s="4" t="s">
        <v>295</v>
      </c>
      <c r="I97" s="25" t="s">
        <v>296</v>
      </c>
      <c r="J97" s="1" t="s">
        <v>27</v>
      </c>
      <c r="K97" s="4">
        <v>7319147309</v>
      </c>
      <c r="L97" s="2" t="s">
        <v>246</v>
      </c>
      <c r="M97" s="1" t="s">
        <v>234</v>
      </c>
      <c r="N97" s="1">
        <v>39</v>
      </c>
      <c r="O97" s="1">
        <v>36</v>
      </c>
      <c r="P97" s="9">
        <f t="shared" si="6"/>
        <v>1404</v>
      </c>
      <c r="Q97" s="9">
        <v>0</v>
      </c>
      <c r="R97" s="9">
        <f t="shared" si="7"/>
        <v>1404</v>
      </c>
      <c r="S97" s="9">
        <f t="shared" si="8"/>
        <v>14</v>
      </c>
      <c r="T97" s="17">
        <f t="shared" si="9"/>
        <v>1390</v>
      </c>
      <c r="U97" s="2" t="s">
        <v>715</v>
      </c>
      <c r="V97" s="2"/>
      <c r="W97" s="2"/>
    </row>
    <row r="98" spans="1:23" x14ac:dyDescent="0.25">
      <c r="A98" s="1">
        <v>97</v>
      </c>
      <c r="B98" s="1">
        <v>328</v>
      </c>
      <c r="C98" s="1" t="e">
        <f>VLOOKUP(B98,[1]Interviewer!B$2:C$193,2,0)</f>
        <v>#N/A</v>
      </c>
      <c r="D98" s="2" t="s">
        <v>297</v>
      </c>
      <c r="E98" s="23" t="s">
        <v>298</v>
      </c>
      <c r="F98" s="4" t="s">
        <v>299</v>
      </c>
      <c r="G98" s="4" t="s">
        <v>45</v>
      </c>
      <c r="H98" s="4" t="s">
        <v>300</v>
      </c>
      <c r="I98" s="25" t="s">
        <v>301</v>
      </c>
      <c r="J98" s="1" t="s">
        <v>27</v>
      </c>
      <c r="K98" s="4">
        <v>9382285218</v>
      </c>
      <c r="L98" s="2" t="s">
        <v>246</v>
      </c>
      <c r="M98" s="1" t="s">
        <v>234</v>
      </c>
      <c r="N98" s="1">
        <v>110</v>
      </c>
      <c r="O98" s="1">
        <v>36</v>
      </c>
      <c r="P98" s="9">
        <f t="shared" ref="P98:P129" si="10">N98*O98</f>
        <v>3960</v>
      </c>
      <c r="Q98" s="9">
        <v>1000</v>
      </c>
      <c r="R98" s="9">
        <f t="shared" ref="R98:R129" si="11">P98-Q98</f>
        <v>2960</v>
      </c>
      <c r="S98" s="9">
        <f t="shared" si="8"/>
        <v>30</v>
      </c>
      <c r="T98" s="17">
        <f t="shared" si="9"/>
        <v>2930</v>
      </c>
      <c r="U98" s="2" t="s">
        <v>715</v>
      </c>
      <c r="V98" s="2"/>
      <c r="W98" s="2"/>
    </row>
    <row r="99" spans="1:23" x14ac:dyDescent="0.25">
      <c r="A99" s="1">
        <v>98</v>
      </c>
      <c r="B99" s="1">
        <v>330</v>
      </c>
      <c r="C99" s="1" t="e">
        <f>VLOOKUP(B99,[1]Interviewer!B$2:C$193,2,0)</f>
        <v>#N/A</v>
      </c>
      <c r="D99" s="2" t="s">
        <v>302</v>
      </c>
      <c r="E99" s="23" t="s">
        <v>303</v>
      </c>
      <c r="F99" s="4" t="s">
        <v>289</v>
      </c>
      <c r="G99" s="4" t="s">
        <v>51</v>
      </c>
      <c r="H99" s="4" t="s">
        <v>304</v>
      </c>
      <c r="I99" s="25" t="s">
        <v>305</v>
      </c>
      <c r="J99" s="1" t="s">
        <v>27</v>
      </c>
      <c r="K99" s="4">
        <v>7699056140</v>
      </c>
      <c r="L99" s="2" t="s">
        <v>246</v>
      </c>
      <c r="M99" s="1" t="s">
        <v>234</v>
      </c>
      <c r="N99" s="1">
        <v>44</v>
      </c>
      <c r="O99" s="1">
        <v>36</v>
      </c>
      <c r="P99" s="9">
        <f t="shared" si="10"/>
        <v>1584</v>
      </c>
      <c r="Q99" s="9">
        <v>0</v>
      </c>
      <c r="R99" s="9">
        <f t="shared" si="11"/>
        <v>1584</v>
      </c>
      <c r="S99" s="9">
        <f t="shared" si="8"/>
        <v>16</v>
      </c>
      <c r="T99" s="17">
        <f t="shared" si="9"/>
        <v>1568</v>
      </c>
      <c r="U99" s="2" t="s">
        <v>715</v>
      </c>
      <c r="V99" s="2"/>
      <c r="W99" s="2"/>
    </row>
    <row r="100" spans="1:23" x14ac:dyDescent="0.25">
      <c r="A100" s="1">
        <v>99</v>
      </c>
      <c r="B100" s="1">
        <v>331</v>
      </c>
      <c r="C100" s="1" t="e">
        <f>VLOOKUP(B100,[1]Interviewer!B$2:C$193,2,0)</f>
        <v>#N/A</v>
      </c>
      <c r="D100" s="2" t="s">
        <v>558</v>
      </c>
      <c r="E100" s="23" t="s">
        <v>559</v>
      </c>
      <c r="F100" s="4" t="s">
        <v>560</v>
      </c>
      <c r="G100" s="4" t="s">
        <v>45</v>
      </c>
      <c r="H100" s="4" t="s">
        <v>561</v>
      </c>
      <c r="I100" s="25" t="s">
        <v>562</v>
      </c>
      <c r="J100" s="1" t="s">
        <v>27</v>
      </c>
      <c r="K100" s="4">
        <v>9382234631</v>
      </c>
      <c r="L100" s="2" t="s">
        <v>246</v>
      </c>
      <c r="M100" s="1" t="s">
        <v>234</v>
      </c>
      <c r="N100" s="1">
        <v>97</v>
      </c>
      <c r="O100" s="1">
        <v>36</v>
      </c>
      <c r="P100" s="9">
        <f t="shared" si="10"/>
        <v>3492</v>
      </c>
      <c r="Q100" s="9">
        <v>500</v>
      </c>
      <c r="R100" s="9">
        <f t="shared" si="11"/>
        <v>2992</v>
      </c>
      <c r="S100" s="9">
        <f t="shared" si="8"/>
        <v>30</v>
      </c>
      <c r="T100" s="17">
        <f t="shared" si="9"/>
        <v>2962</v>
      </c>
      <c r="U100" s="2" t="s">
        <v>722</v>
      </c>
      <c r="V100" s="2"/>
      <c r="W100" s="2"/>
    </row>
    <row r="101" spans="1:23" x14ac:dyDescent="0.25">
      <c r="A101" s="1">
        <v>100</v>
      </c>
      <c r="B101" s="1">
        <v>332</v>
      </c>
      <c r="C101" s="1" t="e">
        <f>VLOOKUP(B101,[1]Interviewer!B$2:C$193,2,0)</f>
        <v>#N/A</v>
      </c>
      <c r="D101" s="2" t="s">
        <v>563</v>
      </c>
      <c r="E101" s="23" t="s">
        <v>564</v>
      </c>
      <c r="F101" s="4" t="s">
        <v>565</v>
      </c>
      <c r="G101" s="4" t="s">
        <v>45</v>
      </c>
      <c r="H101" s="4" t="s">
        <v>566</v>
      </c>
      <c r="I101" s="25" t="s">
        <v>567</v>
      </c>
      <c r="J101" s="1" t="s">
        <v>27</v>
      </c>
      <c r="K101" s="4">
        <v>6295439549</v>
      </c>
      <c r="L101" s="2" t="s">
        <v>246</v>
      </c>
      <c r="M101" s="1" t="s">
        <v>234</v>
      </c>
      <c r="N101" s="1">
        <v>108</v>
      </c>
      <c r="O101" s="1">
        <v>36</v>
      </c>
      <c r="P101" s="9">
        <f t="shared" si="10"/>
        <v>3888</v>
      </c>
      <c r="Q101" s="9">
        <v>500</v>
      </c>
      <c r="R101" s="9">
        <f t="shared" si="11"/>
        <v>3388</v>
      </c>
      <c r="S101" s="9">
        <f t="shared" si="8"/>
        <v>34</v>
      </c>
      <c r="T101" s="17">
        <f t="shared" si="9"/>
        <v>3354</v>
      </c>
      <c r="U101" s="2" t="s">
        <v>722</v>
      </c>
      <c r="V101" s="2"/>
      <c r="W101" s="2"/>
    </row>
    <row r="102" spans="1:23" x14ac:dyDescent="0.25">
      <c r="A102" s="1">
        <v>101</v>
      </c>
      <c r="B102" s="1">
        <v>334</v>
      </c>
      <c r="C102" s="1" t="e">
        <f>VLOOKUP(B102,[1]Interviewer!B$2:C$193,2,0)</f>
        <v>#N/A</v>
      </c>
      <c r="D102" s="2" t="s">
        <v>568</v>
      </c>
      <c r="E102" s="23" t="s">
        <v>569</v>
      </c>
      <c r="F102" s="4" t="s">
        <v>570</v>
      </c>
      <c r="G102" s="4" t="s">
        <v>51</v>
      </c>
      <c r="H102" s="4" t="s">
        <v>571</v>
      </c>
      <c r="I102" s="25" t="s">
        <v>572</v>
      </c>
      <c r="J102" s="1" t="s">
        <v>27</v>
      </c>
      <c r="K102" s="4">
        <v>8001406813</v>
      </c>
      <c r="L102" s="2" t="s">
        <v>246</v>
      </c>
      <c r="M102" s="1" t="s">
        <v>234</v>
      </c>
      <c r="N102" s="1">
        <v>45</v>
      </c>
      <c r="O102" s="1">
        <v>36</v>
      </c>
      <c r="P102" s="9">
        <f t="shared" si="10"/>
        <v>1620</v>
      </c>
      <c r="Q102" s="9">
        <v>650</v>
      </c>
      <c r="R102" s="9">
        <f t="shared" si="11"/>
        <v>970</v>
      </c>
      <c r="S102" s="9">
        <f t="shared" si="8"/>
        <v>10</v>
      </c>
      <c r="T102" s="17">
        <f t="shared" si="9"/>
        <v>960</v>
      </c>
      <c r="U102" s="2" t="s">
        <v>722</v>
      </c>
      <c r="V102" s="2"/>
      <c r="W102" s="2"/>
    </row>
    <row r="103" spans="1:23" x14ac:dyDescent="0.25">
      <c r="A103" s="1">
        <v>102</v>
      </c>
      <c r="B103" s="1">
        <v>335</v>
      </c>
      <c r="C103" s="1" t="e">
        <f>VLOOKUP(B103,[1]Interviewer!B$2:C$193,2,0)</f>
        <v>#N/A</v>
      </c>
      <c r="D103" s="2" t="s">
        <v>573</v>
      </c>
      <c r="E103" s="23" t="s">
        <v>574</v>
      </c>
      <c r="F103" s="4" t="s">
        <v>575</v>
      </c>
      <c r="G103" s="4" t="s">
        <v>45</v>
      </c>
      <c r="H103" s="4" t="s">
        <v>576</v>
      </c>
      <c r="I103" s="25" t="s">
        <v>577</v>
      </c>
      <c r="J103" s="1" t="s">
        <v>27</v>
      </c>
      <c r="K103" s="4">
        <v>7047564755</v>
      </c>
      <c r="L103" s="2" t="s">
        <v>246</v>
      </c>
      <c r="M103" s="1" t="s">
        <v>234</v>
      </c>
      <c r="N103" s="1">
        <v>42</v>
      </c>
      <c r="O103" s="1">
        <v>36</v>
      </c>
      <c r="P103" s="9">
        <f t="shared" si="10"/>
        <v>1512</v>
      </c>
      <c r="Q103" s="9">
        <v>500</v>
      </c>
      <c r="R103" s="9">
        <f t="shared" si="11"/>
        <v>1012</v>
      </c>
      <c r="S103" s="9">
        <f t="shared" si="8"/>
        <v>10</v>
      </c>
      <c r="T103" s="17">
        <f t="shared" si="9"/>
        <v>1002</v>
      </c>
      <c r="U103" s="2" t="s">
        <v>722</v>
      </c>
      <c r="V103" s="2"/>
      <c r="W103" s="2"/>
    </row>
    <row r="104" spans="1:23" x14ac:dyDescent="0.25">
      <c r="A104" s="1">
        <v>103</v>
      </c>
      <c r="B104" s="1">
        <v>337</v>
      </c>
      <c r="C104" s="1" t="e">
        <f>VLOOKUP(B104,[1]Interviewer!B$2:C$193,2,0)</f>
        <v>#N/A</v>
      </c>
      <c r="D104" s="2" t="s">
        <v>306</v>
      </c>
      <c r="E104" s="23" t="s">
        <v>307</v>
      </c>
      <c r="F104" s="4" t="s">
        <v>308</v>
      </c>
      <c r="G104" s="4" t="s">
        <v>24</v>
      </c>
      <c r="H104" s="4" t="s">
        <v>309</v>
      </c>
      <c r="I104" s="25" t="s">
        <v>310</v>
      </c>
      <c r="J104" s="1" t="s">
        <v>27</v>
      </c>
      <c r="K104" s="4">
        <v>9002028127</v>
      </c>
      <c r="L104" s="2" t="s">
        <v>246</v>
      </c>
      <c r="M104" s="1" t="s">
        <v>234</v>
      </c>
      <c r="N104" s="1">
        <v>54</v>
      </c>
      <c r="O104" s="1">
        <v>36</v>
      </c>
      <c r="P104" s="9">
        <f t="shared" si="10"/>
        <v>1944</v>
      </c>
      <c r="Q104" s="9">
        <v>500</v>
      </c>
      <c r="R104" s="9">
        <f t="shared" si="11"/>
        <v>1444</v>
      </c>
      <c r="S104" s="9">
        <f t="shared" si="8"/>
        <v>14</v>
      </c>
      <c r="T104" s="17">
        <f t="shared" si="9"/>
        <v>1430</v>
      </c>
      <c r="U104" s="2" t="s">
        <v>715</v>
      </c>
      <c r="V104" s="2"/>
      <c r="W104" s="2"/>
    </row>
    <row r="105" spans="1:23" x14ac:dyDescent="0.25">
      <c r="A105" s="1">
        <v>104</v>
      </c>
      <c r="B105" s="1">
        <v>339</v>
      </c>
      <c r="C105" s="1" t="e">
        <f>VLOOKUP(B105,[1]Interviewer!B$2:C$193,2,0)</f>
        <v>#N/A</v>
      </c>
      <c r="D105" s="2" t="s">
        <v>578</v>
      </c>
      <c r="E105" s="23" t="s">
        <v>579</v>
      </c>
      <c r="F105" s="4" t="s">
        <v>575</v>
      </c>
      <c r="G105" s="4" t="s">
        <v>45</v>
      </c>
      <c r="H105" s="4" t="s">
        <v>580</v>
      </c>
      <c r="I105" s="25" t="s">
        <v>581</v>
      </c>
      <c r="J105" s="1" t="s">
        <v>27</v>
      </c>
      <c r="K105" s="4">
        <v>9547207790</v>
      </c>
      <c r="L105" s="2" t="s">
        <v>246</v>
      </c>
      <c r="M105" s="1" t="s">
        <v>234</v>
      </c>
      <c r="N105" s="1">
        <v>5</v>
      </c>
      <c r="O105" s="1">
        <v>36</v>
      </c>
      <c r="P105" s="9">
        <f t="shared" si="10"/>
        <v>180</v>
      </c>
      <c r="Q105" s="9">
        <v>0</v>
      </c>
      <c r="R105" s="9">
        <f t="shared" si="11"/>
        <v>180</v>
      </c>
      <c r="S105" s="9">
        <f t="shared" si="8"/>
        <v>2</v>
      </c>
      <c r="T105" s="17">
        <f t="shared" si="9"/>
        <v>178</v>
      </c>
      <c r="U105" s="2" t="s">
        <v>722</v>
      </c>
      <c r="V105" s="2"/>
      <c r="W105" s="2"/>
    </row>
    <row r="106" spans="1:23" x14ac:dyDescent="0.25">
      <c r="A106" s="1">
        <v>105</v>
      </c>
      <c r="B106" s="1">
        <v>340</v>
      </c>
      <c r="C106" s="1" t="e">
        <f>VLOOKUP(B106,[1]Interviewer!B$2:C$193,2,0)</f>
        <v>#N/A</v>
      </c>
      <c r="D106" s="2" t="s">
        <v>311</v>
      </c>
      <c r="E106" s="23" t="s">
        <v>312</v>
      </c>
      <c r="F106" s="4" t="s">
        <v>313</v>
      </c>
      <c r="G106" s="4" t="s">
        <v>314</v>
      </c>
      <c r="H106" s="4" t="s">
        <v>315</v>
      </c>
      <c r="I106" s="25" t="s">
        <v>316</v>
      </c>
      <c r="J106" s="1" t="s">
        <v>27</v>
      </c>
      <c r="K106" s="4">
        <v>9239253780</v>
      </c>
      <c r="L106" s="2" t="s">
        <v>246</v>
      </c>
      <c r="M106" s="1" t="s">
        <v>234</v>
      </c>
      <c r="N106" s="1">
        <v>219</v>
      </c>
      <c r="O106" s="1">
        <v>36</v>
      </c>
      <c r="P106" s="9">
        <f t="shared" si="10"/>
        <v>7884</v>
      </c>
      <c r="Q106" s="9">
        <v>1500</v>
      </c>
      <c r="R106" s="9">
        <f t="shared" si="11"/>
        <v>6384</v>
      </c>
      <c r="S106" s="9">
        <f t="shared" si="8"/>
        <v>64</v>
      </c>
      <c r="T106" s="17">
        <f t="shared" si="9"/>
        <v>6320</v>
      </c>
      <c r="U106" s="2" t="s">
        <v>715</v>
      </c>
      <c r="V106" s="2"/>
      <c r="W106" s="2"/>
    </row>
    <row r="107" spans="1:23" x14ac:dyDescent="0.25">
      <c r="A107" s="1">
        <v>106</v>
      </c>
      <c r="B107" s="1">
        <v>341</v>
      </c>
      <c r="C107" s="1" t="e">
        <f>VLOOKUP(B107,[1]Interviewer!B$2:C$193,2,0)</f>
        <v>#N/A</v>
      </c>
      <c r="D107" s="2" t="s">
        <v>837</v>
      </c>
      <c r="E107" s="3">
        <v>3521731022848</v>
      </c>
      <c r="F107" s="4" t="s">
        <v>838</v>
      </c>
      <c r="G107" s="4" t="s">
        <v>839</v>
      </c>
      <c r="H107" s="4" t="s">
        <v>840</v>
      </c>
      <c r="I107" s="4"/>
      <c r="J107" s="1"/>
      <c r="K107" s="4">
        <v>7384216018</v>
      </c>
      <c r="L107" s="2" t="s">
        <v>841</v>
      </c>
      <c r="M107" s="1" t="s">
        <v>234</v>
      </c>
      <c r="N107" s="1">
        <v>47</v>
      </c>
      <c r="O107" s="1">
        <v>36</v>
      </c>
      <c r="P107" s="9">
        <f t="shared" si="10"/>
        <v>1692</v>
      </c>
      <c r="Q107" s="9">
        <f>P107</f>
        <v>1692</v>
      </c>
      <c r="R107" s="9">
        <f t="shared" si="11"/>
        <v>0</v>
      </c>
      <c r="S107" s="9">
        <f t="shared" si="8"/>
        <v>0</v>
      </c>
      <c r="T107" s="17">
        <f t="shared" si="9"/>
        <v>0</v>
      </c>
      <c r="U107" s="2" t="s">
        <v>730</v>
      </c>
      <c r="V107" s="2" t="s">
        <v>745</v>
      </c>
      <c r="W107" s="2"/>
    </row>
    <row r="108" spans="1:23" x14ac:dyDescent="0.25">
      <c r="A108" s="1">
        <v>107</v>
      </c>
      <c r="B108" s="1">
        <v>342</v>
      </c>
      <c r="C108" s="1" t="e">
        <f>VLOOKUP(B108,[1]Interviewer!B$2:C$193,2,0)</f>
        <v>#N/A</v>
      </c>
      <c r="D108" s="2" t="s">
        <v>842</v>
      </c>
      <c r="E108" s="3">
        <v>227201700098688</v>
      </c>
      <c r="F108" s="4" t="s">
        <v>63</v>
      </c>
      <c r="G108" s="4" t="s">
        <v>45</v>
      </c>
      <c r="H108" s="4" t="s">
        <v>843</v>
      </c>
      <c r="I108" s="4"/>
      <c r="J108" s="1"/>
      <c r="K108" s="4">
        <v>7810871374</v>
      </c>
      <c r="L108" s="2" t="s">
        <v>841</v>
      </c>
      <c r="M108" s="1" t="s">
        <v>234</v>
      </c>
      <c r="N108" s="1">
        <v>57</v>
      </c>
      <c r="O108" s="1">
        <v>36</v>
      </c>
      <c r="P108" s="9">
        <f t="shared" si="10"/>
        <v>2052</v>
      </c>
      <c r="Q108" s="9">
        <f>P108</f>
        <v>2052</v>
      </c>
      <c r="R108" s="9">
        <f t="shared" si="11"/>
        <v>0</v>
      </c>
      <c r="S108" s="9">
        <f t="shared" si="8"/>
        <v>0</v>
      </c>
      <c r="T108" s="17">
        <f t="shared" si="9"/>
        <v>0</v>
      </c>
      <c r="U108" s="2" t="s">
        <v>730</v>
      </c>
      <c r="V108" s="2" t="s">
        <v>745</v>
      </c>
      <c r="W108" s="2"/>
    </row>
    <row r="109" spans="1:23" x14ac:dyDescent="0.25">
      <c r="A109" s="1">
        <v>108</v>
      </c>
      <c r="B109" s="1">
        <v>343</v>
      </c>
      <c r="C109" s="1" t="e">
        <f>VLOOKUP(B109,[1]Interviewer!B$2:C$193,2,0)</f>
        <v>#N/A</v>
      </c>
      <c r="D109" s="2" t="s">
        <v>844</v>
      </c>
      <c r="E109" s="3">
        <v>34665803545</v>
      </c>
      <c r="F109" s="4" t="s">
        <v>79</v>
      </c>
      <c r="G109" s="4" t="s">
        <v>51</v>
      </c>
      <c r="H109" s="4" t="s">
        <v>845</v>
      </c>
      <c r="I109" s="4"/>
      <c r="J109" s="1"/>
      <c r="K109" s="4">
        <v>7363912201</v>
      </c>
      <c r="L109" s="2" t="s">
        <v>841</v>
      </c>
      <c r="M109" s="1" t="s">
        <v>234</v>
      </c>
      <c r="N109" s="1">
        <v>17</v>
      </c>
      <c r="O109" s="1">
        <v>36</v>
      </c>
      <c r="P109" s="9">
        <f t="shared" si="10"/>
        <v>612</v>
      </c>
      <c r="Q109" s="9">
        <f>P109</f>
        <v>612</v>
      </c>
      <c r="R109" s="9">
        <f t="shared" si="11"/>
        <v>0</v>
      </c>
      <c r="S109" s="9">
        <f t="shared" si="8"/>
        <v>0</v>
      </c>
      <c r="T109" s="17">
        <f t="shared" si="9"/>
        <v>0</v>
      </c>
      <c r="U109" s="2" t="s">
        <v>730</v>
      </c>
      <c r="V109" s="2" t="s">
        <v>745</v>
      </c>
      <c r="W109" s="2"/>
    </row>
    <row r="110" spans="1:23" x14ac:dyDescent="0.25">
      <c r="A110" s="1">
        <v>109</v>
      </c>
      <c r="B110" s="1">
        <v>344</v>
      </c>
      <c r="C110" s="1" t="e">
        <f>VLOOKUP(B110,[1]Interviewer!B$2:C$193,2,0)</f>
        <v>#N/A</v>
      </c>
      <c r="D110" s="2" t="s">
        <v>846</v>
      </c>
      <c r="E110" s="3">
        <v>33248397136</v>
      </c>
      <c r="F110" s="4" t="s">
        <v>79</v>
      </c>
      <c r="G110" s="4" t="s">
        <v>51</v>
      </c>
      <c r="H110" s="4" t="s">
        <v>847</v>
      </c>
      <c r="I110" s="4"/>
      <c r="J110" s="1"/>
      <c r="K110" s="4">
        <v>9749352993</v>
      </c>
      <c r="L110" s="2" t="s">
        <v>841</v>
      </c>
      <c r="M110" s="1" t="s">
        <v>234</v>
      </c>
      <c r="N110" s="1">
        <v>47</v>
      </c>
      <c r="O110" s="1">
        <v>36</v>
      </c>
      <c r="P110" s="9">
        <f t="shared" si="10"/>
        <v>1692</v>
      </c>
      <c r="Q110" s="9">
        <f>P110</f>
        <v>1692</v>
      </c>
      <c r="R110" s="9">
        <f t="shared" si="11"/>
        <v>0</v>
      </c>
      <c r="S110" s="9">
        <f t="shared" si="8"/>
        <v>0</v>
      </c>
      <c r="T110" s="17">
        <f t="shared" si="9"/>
        <v>0</v>
      </c>
      <c r="U110" s="2" t="s">
        <v>730</v>
      </c>
      <c r="V110" s="2" t="s">
        <v>745</v>
      </c>
      <c r="W110" s="2"/>
    </row>
    <row r="111" spans="1:23" x14ac:dyDescent="0.25">
      <c r="A111" s="1">
        <v>110</v>
      </c>
      <c r="B111" s="1">
        <v>345</v>
      </c>
      <c r="C111" s="1" t="e">
        <f>VLOOKUP(B111,[1]Interviewer!B$2:C$193,2,0)</f>
        <v>#N/A</v>
      </c>
      <c r="D111" s="2" t="s">
        <v>848</v>
      </c>
      <c r="E111" s="3">
        <v>3521712162622</v>
      </c>
      <c r="F111" s="4" t="s">
        <v>849</v>
      </c>
      <c r="G111" s="4" t="s">
        <v>839</v>
      </c>
      <c r="H111" s="4" t="s">
        <v>850</v>
      </c>
      <c r="I111" s="4"/>
      <c r="J111" s="1"/>
      <c r="K111" s="4">
        <v>8001652530</v>
      </c>
      <c r="L111" s="2" t="s">
        <v>841</v>
      </c>
      <c r="M111" s="1" t="s">
        <v>234</v>
      </c>
      <c r="N111" s="1">
        <v>79</v>
      </c>
      <c r="O111" s="1">
        <v>36</v>
      </c>
      <c r="P111" s="9">
        <f t="shared" si="10"/>
        <v>2844</v>
      </c>
      <c r="Q111" s="9">
        <f>P111</f>
        <v>2844</v>
      </c>
      <c r="R111" s="9">
        <f t="shared" si="11"/>
        <v>0</v>
      </c>
      <c r="S111" s="9">
        <f t="shared" si="8"/>
        <v>0</v>
      </c>
      <c r="T111" s="17">
        <f t="shared" si="9"/>
        <v>0</v>
      </c>
      <c r="U111" s="2" t="s">
        <v>730</v>
      </c>
      <c r="V111" s="2" t="s">
        <v>745</v>
      </c>
      <c r="W111" s="2"/>
    </row>
    <row r="112" spans="1:23" x14ac:dyDescent="0.25">
      <c r="A112" s="1">
        <v>111</v>
      </c>
      <c r="B112" s="1">
        <v>346</v>
      </c>
      <c r="C112" s="1" t="s">
        <v>716</v>
      </c>
      <c r="D112" s="2" t="s">
        <v>851</v>
      </c>
      <c r="E112" s="23" t="s">
        <v>852</v>
      </c>
      <c r="F112" s="4" t="s">
        <v>565</v>
      </c>
      <c r="G112" s="4" t="s">
        <v>45</v>
      </c>
      <c r="H112" s="4" t="s">
        <v>853</v>
      </c>
      <c r="I112" s="25" t="s">
        <v>854</v>
      </c>
      <c r="J112" s="1" t="s">
        <v>27</v>
      </c>
      <c r="K112" s="4">
        <v>9749083552</v>
      </c>
      <c r="L112" s="2" t="s">
        <v>587</v>
      </c>
      <c r="M112" s="1" t="s">
        <v>234</v>
      </c>
      <c r="N112" s="1">
        <v>54</v>
      </c>
      <c r="O112" s="1">
        <v>36</v>
      </c>
      <c r="P112" s="9">
        <f t="shared" si="10"/>
        <v>1944</v>
      </c>
      <c r="Q112" s="9">
        <v>1500</v>
      </c>
      <c r="R112" s="9">
        <f t="shared" si="11"/>
        <v>444</v>
      </c>
      <c r="S112" s="9">
        <f t="shared" si="8"/>
        <v>4</v>
      </c>
      <c r="T112" s="17">
        <f t="shared" si="9"/>
        <v>440</v>
      </c>
      <c r="U112" s="2" t="s">
        <v>473</v>
      </c>
      <c r="V112" s="2" t="s">
        <v>855</v>
      </c>
      <c r="W112" s="2"/>
    </row>
    <row r="113" spans="1:23" x14ac:dyDescent="0.25">
      <c r="A113" s="1">
        <v>112</v>
      </c>
      <c r="B113" s="1">
        <v>347</v>
      </c>
      <c r="C113" s="1" t="s">
        <v>716</v>
      </c>
      <c r="D113" s="2" t="s">
        <v>856</v>
      </c>
      <c r="E113" s="23" t="s">
        <v>857</v>
      </c>
      <c r="F113" s="4" t="s">
        <v>858</v>
      </c>
      <c r="G113" s="4" t="s">
        <v>45</v>
      </c>
      <c r="H113" s="4" t="s">
        <v>859</v>
      </c>
      <c r="I113" s="25" t="s">
        <v>860</v>
      </c>
      <c r="J113" s="1" t="s">
        <v>27</v>
      </c>
      <c r="K113" s="4">
        <v>7872317075</v>
      </c>
      <c r="L113" s="2" t="s">
        <v>587</v>
      </c>
      <c r="M113" s="1" t="s">
        <v>234</v>
      </c>
      <c r="N113" s="1">
        <v>90</v>
      </c>
      <c r="O113" s="1">
        <v>36</v>
      </c>
      <c r="P113" s="9">
        <f t="shared" si="10"/>
        <v>3240</v>
      </c>
      <c r="Q113" s="9">
        <v>1000</v>
      </c>
      <c r="R113" s="9">
        <f t="shared" si="11"/>
        <v>2240</v>
      </c>
      <c r="S113" s="9">
        <f t="shared" si="8"/>
        <v>22</v>
      </c>
      <c r="T113" s="17">
        <f t="shared" si="9"/>
        <v>2218</v>
      </c>
      <c r="U113" s="2" t="s">
        <v>473</v>
      </c>
      <c r="V113" s="2" t="s">
        <v>855</v>
      </c>
      <c r="W113" s="2"/>
    </row>
    <row r="114" spans="1:23" x14ac:dyDescent="0.25">
      <c r="A114" s="1">
        <v>113</v>
      </c>
      <c r="B114" s="1">
        <v>348</v>
      </c>
      <c r="C114" s="1" t="s">
        <v>716</v>
      </c>
      <c r="D114" s="2" t="s">
        <v>861</v>
      </c>
      <c r="E114" s="23" t="s">
        <v>862</v>
      </c>
      <c r="F114" s="4" t="s">
        <v>863</v>
      </c>
      <c r="G114" s="4" t="s">
        <v>376</v>
      </c>
      <c r="H114" s="4" t="s">
        <v>864</v>
      </c>
      <c r="I114" s="25" t="s">
        <v>865</v>
      </c>
      <c r="J114" s="1" t="s">
        <v>27</v>
      </c>
      <c r="K114" s="4">
        <v>8436962988</v>
      </c>
      <c r="L114" s="2" t="s">
        <v>587</v>
      </c>
      <c r="M114" s="1" t="s">
        <v>234</v>
      </c>
      <c r="N114" s="1">
        <v>158</v>
      </c>
      <c r="O114" s="1">
        <v>36</v>
      </c>
      <c r="P114" s="9">
        <f t="shared" si="10"/>
        <v>5688</v>
      </c>
      <c r="Q114" s="9">
        <v>3500</v>
      </c>
      <c r="R114" s="9">
        <f t="shared" si="11"/>
        <v>2188</v>
      </c>
      <c r="S114" s="9">
        <v>0</v>
      </c>
      <c r="T114" s="17">
        <f t="shared" si="9"/>
        <v>2188</v>
      </c>
      <c r="U114" s="2" t="s">
        <v>473</v>
      </c>
      <c r="V114" s="2" t="s">
        <v>855</v>
      </c>
      <c r="W114" s="2"/>
    </row>
    <row r="115" spans="1:23" x14ac:dyDescent="0.25">
      <c r="A115" s="1">
        <v>114</v>
      </c>
      <c r="B115" s="1">
        <v>349</v>
      </c>
      <c r="C115" s="1" t="s">
        <v>716</v>
      </c>
      <c r="D115" s="2" t="s">
        <v>866</v>
      </c>
      <c r="E115" s="23" t="s">
        <v>867</v>
      </c>
      <c r="F115" s="4" t="s">
        <v>364</v>
      </c>
      <c r="G115" s="4" t="s">
        <v>51</v>
      </c>
      <c r="H115" s="4" t="s">
        <v>868</v>
      </c>
      <c r="I115" s="25" t="s">
        <v>869</v>
      </c>
      <c r="J115" s="1" t="s">
        <v>735</v>
      </c>
      <c r="K115" s="4">
        <v>9832552801</v>
      </c>
      <c r="L115" s="2" t="s">
        <v>587</v>
      </c>
      <c r="M115" s="1" t="s">
        <v>234</v>
      </c>
      <c r="N115" s="1">
        <v>34</v>
      </c>
      <c r="O115" s="1">
        <v>36</v>
      </c>
      <c r="P115" s="9">
        <f t="shared" si="10"/>
        <v>1224</v>
      </c>
      <c r="Q115" s="9">
        <v>0</v>
      </c>
      <c r="R115" s="9">
        <f t="shared" si="11"/>
        <v>1224</v>
      </c>
      <c r="S115" s="9">
        <v>0</v>
      </c>
      <c r="T115" s="17">
        <f t="shared" si="9"/>
        <v>1224</v>
      </c>
      <c r="U115" s="2" t="s">
        <v>736</v>
      </c>
      <c r="V115" s="2" t="s">
        <v>855</v>
      </c>
      <c r="W115" s="2"/>
    </row>
    <row r="116" spans="1:23" x14ac:dyDescent="0.25">
      <c r="A116" s="1">
        <v>115</v>
      </c>
      <c r="B116" s="1">
        <v>350</v>
      </c>
      <c r="C116" s="1" t="e">
        <f>VLOOKUP(B116,[1]Interviewer!B$2:C$193,2,0)</f>
        <v>#N/A</v>
      </c>
      <c r="D116" s="2" t="s">
        <v>582</v>
      </c>
      <c r="E116" s="23" t="s">
        <v>583</v>
      </c>
      <c r="F116" s="4" t="s">
        <v>584</v>
      </c>
      <c r="G116" s="4" t="s">
        <v>51</v>
      </c>
      <c r="H116" s="4" t="s">
        <v>585</v>
      </c>
      <c r="I116" s="25" t="s">
        <v>586</v>
      </c>
      <c r="J116" s="1" t="s">
        <v>27</v>
      </c>
      <c r="K116" s="4">
        <v>9635075980</v>
      </c>
      <c r="L116" s="2" t="s">
        <v>587</v>
      </c>
      <c r="M116" s="1" t="s">
        <v>234</v>
      </c>
      <c r="N116" s="1">
        <v>358</v>
      </c>
      <c r="O116" s="1">
        <v>36</v>
      </c>
      <c r="P116" s="9">
        <f t="shared" si="10"/>
        <v>12888</v>
      </c>
      <c r="Q116" s="9">
        <v>3700</v>
      </c>
      <c r="R116" s="9">
        <f t="shared" si="11"/>
        <v>9188</v>
      </c>
      <c r="S116" s="9">
        <f t="shared" si="8"/>
        <v>92</v>
      </c>
      <c r="T116" s="17">
        <f t="shared" si="9"/>
        <v>9096</v>
      </c>
      <c r="U116" s="2" t="s">
        <v>722</v>
      </c>
      <c r="V116" s="2"/>
      <c r="W116" s="2"/>
    </row>
    <row r="117" spans="1:23" x14ac:dyDescent="0.25">
      <c r="A117" s="1">
        <v>116</v>
      </c>
      <c r="B117" s="1">
        <v>351</v>
      </c>
      <c r="C117" s="1" t="e">
        <f>VLOOKUP(B117,[1]Interviewer!B$2:C$193,2,0)</f>
        <v>#N/A</v>
      </c>
      <c r="D117" s="2" t="s">
        <v>346</v>
      </c>
      <c r="E117" s="3">
        <v>0</v>
      </c>
      <c r="F117" s="4">
        <v>0</v>
      </c>
      <c r="G117" s="4" t="s">
        <v>744</v>
      </c>
      <c r="H117" s="4" t="s">
        <v>870</v>
      </c>
      <c r="I117" s="4"/>
      <c r="J117" s="1"/>
      <c r="K117" s="4">
        <v>8945040805</v>
      </c>
      <c r="L117" s="2" t="s">
        <v>587</v>
      </c>
      <c r="M117" s="1" t="s">
        <v>234</v>
      </c>
      <c r="N117" s="1">
        <v>52</v>
      </c>
      <c r="O117" s="1">
        <v>36</v>
      </c>
      <c r="P117" s="9">
        <f t="shared" si="10"/>
        <v>1872</v>
      </c>
      <c r="Q117" s="9">
        <v>1500</v>
      </c>
      <c r="R117" s="9">
        <f t="shared" si="11"/>
        <v>372</v>
      </c>
      <c r="S117" s="9">
        <f t="shared" si="8"/>
        <v>4</v>
      </c>
      <c r="T117" s="17">
        <f t="shared" si="9"/>
        <v>368</v>
      </c>
      <c r="U117" s="2" t="s">
        <v>871</v>
      </c>
      <c r="V117" s="2" t="s">
        <v>855</v>
      </c>
      <c r="W117" s="2"/>
    </row>
    <row r="118" spans="1:23" x14ac:dyDescent="0.25">
      <c r="A118" s="1">
        <v>117</v>
      </c>
      <c r="B118" s="1">
        <v>352</v>
      </c>
      <c r="C118" s="1" t="e">
        <f>VLOOKUP(B118,[1]Interviewer!B$2:C$193,2,0)</f>
        <v>#N/A</v>
      </c>
      <c r="D118" s="2" t="s">
        <v>346</v>
      </c>
      <c r="E118" s="3">
        <v>33583939869</v>
      </c>
      <c r="F118" s="4" t="s">
        <v>872</v>
      </c>
      <c r="G118" s="4" t="s">
        <v>51</v>
      </c>
      <c r="H118" s="4">
        <v>0</v>
      </c>
      <c r="I118" s="4"/>
      <c r="J118" s="1"/>
      <c r="K118" s="4">
        <v>7602916502</v>
      </c>
      <c r="L118" s="2" t="s">
        <v>587</v>
      </c>
      <c r="M118" s="1" t="s">
        <v>234</v>
      </c>
      <c r="N118" s="1">
        <v>46</v>
      </c>
      <c r="O118" s="1">
        <v>36</v>
      </c>
      <c r="P118" s="9">
        <f t="shared" si="10"/>
        <v>1656</v>
      </c>
      <c r="Q118" s="9">
        <v>1500</v>
      </c>
      <c r="R118" s="9">
        <f t="shared" si="11"/>
        <v>156</v>
      </c>
      <c r="S118" s="9">
        <f t="shared" si="8"/>
        <v>2</v>
      </c>
      <c r="T118" s="17">
        <f t="shared" si="9"/>
        <v>154</v>
      </c>
      <c r="U118" s="2" t="s">
        <v>730</v>
      </c>
      <c r="V118" s="2" t="s">
        <v>855</v>
      </c>
      <c r="W118" s="2"/>
    </row>
    <row r="119" spans="1:23" x14ac:dyDescent="0.25">
      <c r="A119" s="1">
        <v>118</v>
      </c>
      <c r="B119" s="1">
        <v>353</v>
      </c>
      <c r="C119" s="1" t="e">
        <f>VLOOKUP(B119,[1]Interviewer!B$2:C$193,2,0)</f>
        <v>#N/A</v>
      </c>
      <c r="D119" s="2" t="s">
        <v>873</v>
      </c>
      <c r="E119" s="23" t="s">
        <v>874</v>
      </c>
      <c r="F119" s="4" t="s">
        <v>875</v>
      </c>
      <c r="G119" s="4" t="s">
        <v>45</v>
      </c>
      <c r="H119" s="4" t="s">
        <v>876</v>
      </c>
      <c r="I119" s="25" t="s">
        <v>877</v>
      </c>
      <c r="J119" s="1" t="s">
        <v>735</v>
      </c>
      <c r="K119" s="4">
        <v>7863930843</v>
      </c>
      <c r="L119" s="2" t="s">
        <v>587</v>
      </c>
      <c r="M119" s="1" t="s">
        <v>234</v>
      </c>
      <c r="N119" s="1">
        <v>85</v>
      </c>
      <c r="O119" s="1">
        <v>36</v>
      </c>
      <c r="P119" s="9">
        <f t="shared" si="10"/>
        <v>3060</v>
      </c>
      <c r="Q119" s="9">
        <v>2000</v>
      </c>
      <c r="R119" s="9">
        <f t="shared" si="11"/>
        <v>1060</v>
      </c>
      <c r="S119" s="9">
        <v>0</v>
      </c>
      <c r="T119" s="17">
        <f t="shared" si="9"/>
        <v>1060</v>
      </c>
      <c r="U119" s="2" t="s">
        <v>736</v>
      </c>
      <c r="V119" s="2" t="s">
        <v>855</v>
      </c>
      <c r="W119" s="2"/>
    </row>
    <row r="120" spans="1:23" x14ac:dyDescent="0.25">
      <c r="A120" s="1">
        <v>119</v>
      </c>
      <c r="B120" s="1">
        <v>354</v>
      </c>
      <c r="C120" s="1" t="e">
        <f>VLOOKUP(B120,[1]Interviewer!B$2:C$193,2,0)</f>
        <v>#N/A</v>
      </c>
      <c r="D120" s="2" t="s">
        <v>878</v>
      </c>
      <c r="E120" s="3">
        <v>0</v>
      </c>
      <c r="F120" s="4">
        <v>0</v>
      </c>
      <c r="G120" s="4" t="s">
        <v>744</v>
      </c>
      <c r="H120" s="4">
        <v>0</v>
      </c>
      <c r="I120" s="4"/>
      <c r="J120" s="1"/>
      <c r="K120" s="4">
        <v>0</v>
      </c>
      <c r="L120" s="2" t="s">
        <v>233</v>
      </c>
      <c r="M120" s="1" t="s">
        <v>234</v>
      </c>
      <c r="N120" s="1">
        <v>35</v>
      </c>
      <c r="O120" s="1">
        <v>36</v>
      </c>
      <c r="P120" s="9">
        <f t="shared" si="10"/>
        <v>1260</v>
      </c>
      <c r="Q120" s="9">
        <v>0</v>
      </c>
      <c r="R120" s="9">
        <f t="shared" si="11"/>
        <v>1260</v>
      </c>
      <c r="S120" s="9">
        <f t="shared" si="8"/>
        <v>13</v>
      </c>
      <c r="T120" s="17">
        <f t="shared" si="9"/>
        <v>1247</v>
      </c>
      <c r="U120" s="2" t="s">
        <v>730</v>
      </c>
      <c r="V120" s="2" t="s">
        <v>855</v>
      </c>
      <c r="W120" s="2"/>
    </row>
    <row r="121" spans="1:23" x14ac:dyDescent="0.25">
      <c r="A121" s="1">
        <v>120</v>
      </c>
      <c r="B121" s="1">
        <v>380</v>
      </c>
      <c r="C121" s="1" t="e">
        <f>VLOOKUP(B121,[1]Interviewer!B$2:C$193,2,0)</f>
        <v>#N/A</v>
      </c>
      <c r="D121" s="2" t="s">
        <v>879</v>
      </c>
      <c r="E121" s="3">
        <v>0</v>
      </c>
      <c r="F121" s="4">
        <v>0</v>
      </c>
      <c r="G121" s="4" t="s">
        <v>744</v>
      </c>
      <c r="H121" s="4">
        <v>0</v>
      </c>
      <c r="I121" s="4"/>
      <c r="J121" s="1"/>
      <c r="K121" s="4">
        <v>8670237370</v>
      </c>
      <c r="L121" s="2" t="s">
        <v>246</v>
      </c>
      <c r="M121" s="1" t="s">
        <v>234</v>
      </c>
      <c r="N121" s="1">
        <v>19</v>
      </c>
      <c r="O121" s="1">
        <v>36</v>
      </c>
      <c r="P121" s="9">
        <f t="shared" si="10"/>
        <v>684</v>
      </c>
      <c r="Q121" s="9">
        <v>0</v>
      </c>
      <c r="R121" s="9">
        <f t="shared" si="11"/>
        <v>684</v>
      </c>
      <c r="S121" s="9">
        <f t="shared" si="8"/>
        <v>7</v>
      </c>
      <c r="T121" s="17">
        <f t="shared" si="9"/>
        <v>677</v>
      </c>
      <c r="U121" s="2" t="s">
        <v>730</v>
      </c>
      <c r="V121" s="2" t="s">
        <v>855</v>
      </c>
      <c r="W121" s="2"/>
    </row>
    <row r="122" spans="1:23" x14ac:dyDescent="0.25">
      <c r="A122" s="1">
        <v>121</v>
      </c>
      <c r="B122" s="1">
        <v>381</v>
      </c>
      <c r="C122" s="1" t="e">
        <f>VLOOKUP(B122,[1]Interviewer!B$2:C$193,2,0)</f>
        <v>#N/A</v>
      </c>
      <c r="D122" s="2" t="s">
        <v>880</v>
      </c>
      <c r="E122" s="3">
        <v>0</v>
      </c>
      <c r="F122" s="4">
        <v>0</v>
      </c>
      <c r="G122" s="4" t="s">
        <v>744</v>
      </c>
      <c r="H122" s="4">
        <v>0</v>
      </c>
      <c r="I122" s="4"/>
      <c r="J122" s="1"/>
      <c r="K122" s="4">
        <v>0</v>
      </c>
      <c r="L122" s="2" t="s">
        <v>587</v>
      </c>
      <c r="M122" s="1" t="s">
        <v>234</v>
      </c>
      <c r="N122" s="1">
        <v>20</v>
      </c>
      <c r="O122" s="1">
        <v>36</v>
      </c>
      <c r="P122" s="9">
        <f t="shared" si="10"/>
        <v>720</v>
      </c>
      <c r="Q122" s="9">
        <v>0</v>
      </c>
      <c r="R122" s="9">
        <f t="shared" si="11"/>
        <v>720</v>
      </c>
      <c r="S122" s="9">
        <f t="shared" si="8"/>
        <v>7</v>
      </c>
      <c r="T122" s="17">
        <f t="shared" si="9"/>
        <v>713</v>
      </c>
      <c r="U122" s="2" t="s">
        <v>730</v>
      </c>
      <c r="V122" s="2" t="s">
        <v>855</v>
      </c>
      <c r="W122" s="2"/>
    </row>
    <row r="123" spans="1:23" x14ac:dyDescent="0.25">
      <c r="A123" s="1">
        <v>122</v>
      </c>
      <c r="B123" s="1">
        <v>382</v>
      </c>
      <c r="C123" s="1" t="e">
        <f>VLOOKUP(B123,[1]Interviewer!B$2:C$193,2,0)</f>
        <v>#N/A</v>
      </c>
      <c r="D123" s="2" t="s">
        <v>881</v>
      </c>
      <c r="E123" s="3" t="s">
        <v>882</v>
      </c>
      <c r="F123" s="4" t="s">
        <v>883</v>
      </c>
      <c r="G123" s="4" t="s">
        <v>51</v>
      </c>
      <c r="H123" s="4" t="s">
        <v>884</v>
      </c>
      <c r="I123" s="4"/>
      <c r="J123" s="1"/>
      <c r="K123" s="4">
        <v>8927390921</v>
      </c>
      <c r="L123" s="2" t="s">
        <v>246</v>
      </c>
      <c r="M123" s="1" t="s">
        <v>234</v>
      </c>
      <c r="N123" s="1">
        <v>12</v>
      </c>
      <c r="O123" s="1">
        <v>36</v>
      </c>
      <c r="P123" s="9">
        <f t="shared" si="10"/>
        <v>432</v>
      </c>
      <c r="Q123" s="9">
        <v>400</v>
      </c>
      <c r="R123" s="9">
        <f t="shared" si="11"/>
        <v>32</v>
      </c>
      <c r="S123" s="9">
        <f t="shared" si="8"/>
        <v>0</v>
      </c>
      <c r="T123" s="17">
        <f t="shared" si="9"/>
        <v>32</v>
      </c>
      <c r="U123" s="2" t="s">
        <v>730</v>
      </c>
      <c r="V123" s="2" t="s">
        <v>745</v>
      </c>
      <c r="W123" s="2"/>
    </row>
    <row r="124" spans="1:23" x14ac:dyDescent="0.25">
      <c r="A124" s="1">
        <v>123</v>
      </c>
      <c r="B124" s="1">
        <v>383</v>
      </c>
      <c r="C124" s="1" t="e">
        <f>VLOOKUP(B124,[1]Interviewer!B$2:C$193,2,0)</f>
        <v>#N/A</v>
      </c>
      <c r="D124" s="2" t="s">
        <v>885</v>
      </c>
      <c r="E124" s="3" t="s">
        <v>886</v>
      </c>
      <c r="F124" s="4" t="s">
        <v>887</v>
      </c>
      <c r="G124" s="4" t="s">
        <v>51</v>
      </c>
      <c r="H124" s="4" t="s">
        <v>888</v>
      </c>
      <c r="I124" s="4"/>
      <c r="J124" s="1"/>
      <c r="K124" s="4">
        <v>9382180245</v>
      </c>
      <c r="L124" s="2" t="s">
        <v>246</v>
      </c>
      <c r="M124" s="1" t="s">
        <v>234</v>
      </c>
      <c r="N124" s="1">
        <v>14</v>
      </c>
      <c r="O124" s="1">
        <v>36</v>
      </c>
      <c r="P124" s="9">
        <f t="shared" si="10"/>
        <v>504</v>
      </c>
      <c r="Q124" s="9">
        <v>400</v>
      </c>
      <c r="R124" s="9">
        <f t="shared" si="11"/>
        <v>104</v>
      </c>
      <c r="S124" s="9">
        <f t="shared" si="8"/>
        <v>1</v>
      </c>
      <c r="T124" s="17">
        <f t="shared" si="9"/>
        <v>103</v>
      </c>
      <c r="U124" s="2" t="s">
        <v>730</v>
      </c>
      <c r="V124" s="2" t="s">
        <v>745</v>
      </c>
      <c r="W124" s="2"/>
    </row>
    <row r="125" spans="1:23" x14ac:dyDescent="0.25">
      <c r="A125" s="1">
        <v>124</v>
      </c>
      <c r="B125" s="1">
        <v>384</v>
      </c>
      <c r="C125" s="1" t="e">
        <f>VLOOKUP(B125,[1]Interviewer!B$2:C$193,2,0)</f>
        <v>#N/A</v>
      </c>
      <c r="D125" s="2" t="s">
        <v>889</v>
      </c>
      <c r="E125" s="3">
        <v>0</v>
      </c>
      <c r="F125" s="4">
        <v>0</v>
      </c>
      <c r="G125" s="4" t="s">
        <v>744</v>
      </c>
      <c r="H125" s="4">
        <v>0</v>
      </c>
      <c r="I125" s="4"/>
      <c r="J125" s="1"/>
      <c r="K125" s="4">
        <v>8768375818</v>
      </c>
      <c r="L125" s="2" t="s">
        <v>246</v>
      </c>
      <c r="M125" s="1" t="s">
        <v>234</v>
      </c>
      <c r="N125" s="1">
        <v>0</v>
      </c>
      <c r="O125" s="1">
        <v>36</v>
      </c>
      <c r="P125" s="9">
        <f t="shared" si="10"/>
        <v>0</v>
      </c>
      <c r="Q125" s="9">
        <v>0</v>
      </c>
      <c r="R125" s="9">
        <f t="shared" si="11"/>
        <v>0</v>
      </c>
      <c r="S125" s="9">
        <f t="shared" si="8"/>
        <v>0</v>
      </c>
      <c r="T125" s="17">
        <f t="shared" si="9"/>
        <v>0</v>
      </c>
      <c r="U125" s="2" t="s">
        <v>730</v>
      </c>
      <c r="V125" s="2" t="s">
        <v>745</v>
      </c>
      <c r="W125" s="2"/>
    </row>
    <row r="126" spans="1:23" x14ac:dyDescent="0.25">
      <c r="A126" s="1">
        <v>125</v>
      </c>
      <c r="B126" s="1">
        <v>385</v>
      </c>
      <c r="C126" s="1" t="e">
        <f>VLOOKUP(B126,[1]Interviewer!B$2:C$193,2,0)</f>
        <v>#N/A</v>
      </c>
      <c r="D126" s="2" t="s">
        <v>890</v>
      </c>
      <c r="E126" s="3">
        <v>0</v>
      </c>
      <c r="F126" s="4">
        <v>0</v>
      </c>
      <c r="G126" s="4" t="s">
        <v>744</v>
      </c>
      <c r="H126" s="4">
        <v>0</v>
      </c>
      <c r="I126" s="4"/>
      <c r="J126" s="1"/>
      <c r="K126" s="4">
        <v>8927845759</v>
      </c>
      <c r="L126" s="2" t="s">
        <v>246</v>
      </c>
      <c r="M126" s="1" t="s">
        <v>234</v>
      </c>
      <c r="N126" s="1">
        <v>0</v>
      </c>
      <c r="O126" s="1">
        <v>36</v>
      </c>
      <c r="P126" s="9">
        <f t="shared" si="10"/>
        <v>0</v>
      </c>
      <c r="Q126" s="9">
        <v>0</v>
      </c>
      <c r="R126" s="9">
        <f t="shared" si="11"/>
        <v>0</v>
      </c>
      <c r="S126" s="9">
        <f t="shared" si="8"/>
        <v>0</v>
      </c>
      <c r="T126" s="17">
        <f t="shared" si="9"/>
        <v>0</v>
      </c>
      <c r="U126" s="2" t="s">
        <v>730</v>
      </c>
      <c r="V126" s="2" t="s">
        <v>745</v>
      </c>
      <c r="W126" s="2"/>
    </row>
    <row r="127" spans="1:23" x14ac:dyDescent="0.25">
      <c r="A127" s="1">
        <v>126</v>
      </c>
      <c r="B127" s="1">
        <v>386</v>
      </c>
      <c r="C127" s="1" t="e">
        <f>VLOOKUP(B127,[1]Interviewer!B$2:C$193,2,0)</f>
        <v>#N/A</v>
      </c>
      <c r="D127" s="2" t="s">
        <v>891</v>
      </c>
      <c r="E127" s="3" t="s">
        <v>892</v>
      </c>
      <c r="F127" s="4" t="s">
        <v>893</v>
      </c>
      <c r="G127" s="4" t="s">
        <v>894</v>
      </c>
      <c r="H127" s="4" t="s">
        <v>895</v>
      </c>
      <c r="I127" s="4"/>
      <c r="J127" s="1"/>
      <c r="K127" s="4">
        <v>7718389333</v>
      </c>
      <c r="L127" s="2" t="s">
        <v>246</v>
      </c>
      <c r="M127" s="1" t="s">
        <v>234</v>
      </c>
      <c r="N127" s="1">
        <v>25</v>
      </c>
      <c r="O127" s="1">
        <v>36</v>
      </c>
      <c r="P127" s="9">
        <f t="shared" si="10"/>
        <v>900</v>
      </c>
      <c r="Q127" s="9">
        <v>200</v>
      </c>
      <c r="R127" s="9">
        <f t="shared" si="11"/>
        <v>700</v>
      </c>
      <c r="S127" s="9">
        <f t="shared" si="8"/>
        <v>7</v>
      </c>
      <c r="T127" s="17">
        <f t="shared" si="9"/>
        <v>693</v>
      </c>
      <c r="U127" s="2" t="s">
        <v>730</v>
      </c>
      <c r="V127" s="2" t="s">
        <v>855</v>
      </c>
      <c r="W127" s="2"/>
    </row>
    <row r="128" spans="1:23" x14ac:dyDescent="0.25">
      <c r="A128" s="1">
        <v>127</v>
      </c>
      <c r="B128" s="1">
        <v>387</v>
      </c>
      <c r="C128" s="1" t="e">
        <f>VLOOKUP(B128,[1]Interviewer!B$2:C$193,2,0)</f>
        <v>#N/A</v>
      </c>
      <c r="D128" s="2" t="s">
        <v>896</v>
      </c>
      <c r="E128" s="3">
        <v>0</v>
      </c>
      <c r="F128" s="4">
        <v>0</v>
      </c>
      <c r="G128" s="4" t="s">
        <v>744</v>
      </c>
      <c r="H128" s="4">
        <v>0</v>
      </c>
      <c r="I128" s="4"/>
      <c r="J128" s="1"/>
      <c r="K128" s="4">
        <v>6295977438</v>
      </c>
      <c r="L128" s="2" t="s">
        <v>233</v>
      </c>
      <c r="M128" s="1" t="s">
        <v>234</v>
      </c>
      <c r="N128" s="1">
        <v>16</v>
      </c>
      <c r="O128" s="1">
        <v>36</v>
      </c>
      <c r="P128" s="9">
        <f t="shared" si="10"/>
        <v>576</v>
      </c>
      <c r="Q128" s="9">
        <v>0</v>
      </c>
      <c r="R128" s="9">
        <f t="shared" si="11"/>
        <v>576</v>
      </c>
      <c r="S128" s="9">
        <f t="shared" si="8"/>
        <v>6</v>
      </c>
      <c r="T128" s="17">
        <f t="shared" si="9"/>
        <v>570</v>
      </c>
      <c r="U128" s="2" t="s">
        <v>730</v>
      </c>
      <c r="V128" s="2" t="s">
        <v>855</v>
      </c>
      <c r="W128" s="2"/>
    </row>
    <row r="129" spans="1:23" x14ac:dyDescent="0.25">
      <c r="A129" s="1">
        <v>128</v>
      </c>
      <c r="B129" s="1">
        <v>388</v>
      </c>
      <c r="C129" s="1" t="e">
        <f>VLOOKUP(B129,[1]Interviewer!B$2:C$193,2,0)</f>
        <v>#N/A</v>
      </c>
      <c r="D129" s="2" t="s">
        <v>897</v>
      </c>
      <c r="E129" s="3">
        <v>0</v>
      </c>
      <c r="F129" s="4">
        <v>0</v>
      </c>
      <c r="G129" s="4" t="s">
        <v>744</v>
      </c>
      <c r="H129" s="4" t="s">
        <v>898</v>
      </c>
      <c r="I129" s="25" t="s">
        <v>899</v>
      </c>
      <c r="J129" s="1" t="s">
        <v>27</v>
      </c>
      <c r="K129" s="4">
        <v>8167528324</v>
      </c>
      <c r="L129" s="2" t="s">
        <v>233</v>
      </c>
      <c r="M129" s="1" t="s">
        <v>234</v>
      </c>
      <c r="N129" s="1">
        <v>26</v>
      </c>
      <c r="O129" s="1">
        <v>36</v>
      </c>
      <c r="P129" s="9">
        <f t="shared" si="10"/>
        <v>936</v>
      </c>
      <c r="Q129" s="9">
        <v>0</v>
      </c>
      <c r="R129" s="9">
        <f t="shared" si="11"/>
        <v>936</v>
      </c>
      <c r="S129" s="9">
        <f t="shared" si="8"/>
        <v>9</v>
      </c>
      <c r="T129" s="17">
        <f t="shared" si="9"/>
        <v>927</v>
      </c>
      <c r="U129" s="2" t="s">
        <v>900</v>
      </c>
      <c r="V129" s="2" t="s">
        <v>855</v>
      </c>
      <c r="W129" s="2"/>
    </row>
    <row r="130" spans="1:23" x14ac:dyDescent="0.25">
      <c r="A130" s="1">
        <v>129</v>
      </c>
      <c r="B130" s="1">
        <v>389</v>
      </c>
      <c r="C130" s="1" t="e">
        <f>VLOOKUP(B130,[1]Interviewer!B$2:C$193,2,0)</f>
        <v>#N/A</v>
      </c>
      <c r="D130" s="2" t="s">
        <v>317</v>
      </c>
      <c r="E130" s="23" t="s">
        <v>318</v>
      </c>
      <c r="F130" s="4" t="s">
        <v>319</v>
      </c>
      <c r="G130" s="4" t="s">
        <v>45</v>
      </c>
      <c r="H130" s="4" t="s">
        <v>320</v>
      </c>
      <c r="I130" s="25" t="s">
        <v>321</v>
      </c>
      <c r="J130" s="1" t="s">
        <v>27</v>
      </c>
      <c r="K130" s="4">
        <v>9641196030</v>
      </c>
      <c r="L130" s="2" t="s">
        <v>246</v>
      </c>
      <c r="M130" s="1" t="s">
        <v>234</v>
      </c>
      <c r="N130" s="1">
        <v>55</v>
      </c>
      <c r="O130" s="1">
        <v>36</v>
      </c>
      <c r="P130" s="9">
        <f t="shared" ref="P130:P161" si="12">N130*O130</f>
        <v>1980</v>
      </c>
      <c r="Q130" s="9">
        <v>500</v>
      </c>
      <c r="R130" s="9">
        <f t="shared" ref="R130:R161" si="13">P130-Q130</f>
        <v>1480</v>
      </c>
      <c r="S130" s="9">
        <f t="shared" si="8"/>
        <v>15</v>
      </c>
      <c r="T130" s="17">
        <f t="shared" si="9"/>
        <v>1465</v>
      </c>
      <c r="U130" s="2" t="s">
        <v>715</v>
      </c>
      <c r="V130" s="2"/>
      <c r="W130" s="2"/>
    </row>
    <row r="131" spans="1:23" x14ac:dyDescent="0.25">
      <c r="A131" s="1">
        <v>130</v>
      </c>
      <c r="B131" s="1">
        <v>394</v>
      </c>
      <c r="C131" s="1" t="e">
        <f>VLOOKUP(B131,[1]Interviewer!B$2:C$193,2,0)</f>
        <v>#N/A</v>
      </c>
      <c r="D131" s="2" t="s">
        <v>901</v>
      </c>
      <c r="E131" s="3">
        <v>0</v>
      </c>
      <c r="F131" s="4">
        <v>0</v>
      </c>
      <c r="G131" s="4" t="s">
        <v>744</v>
      </c>
      <c r="H131" s="4">
        <v>0</v>
      </c>
      <c r="I131" s="4"/>
      <c r="J131" s="1"/>
      <c r="K131" s="4">
        <v>8436883567</v>
      </c>
      <c r="L131" s="2" t="s">
        <v>587</v>
      </c>
      <c r="M131" s="1" t="s">
        <v>234</v>
      </c>
      <c r="N131" s="1">
        <v>10</v>
      </c>
      <c r="O131" s="1">
        <v>36</v>
      </c>
      <c r="P131" s="9">
        <f t="shared" si="12"/>
        <v>360</v>
      </c>
      <c r="Q131" s="9">
        <v>0</v>
      </c>
      <c r="R131" s="9">
        <f t="shared" si="13"/>
        <v>360</v>
      </c>
      <c r="S131" s="9">
        <f t="shared" ref="S131:S193" si="14">ROUND(R131*1%,0)</f>
        <v>4</v>
      </c>
      <c r="T131" s="17">
        <f t="shared" ref="T131:T193" si="15">R131-S131</f>
        <v>356</v>
      </c>
      <c r="U131" s="2" t="s">
        <v>730</v>
      </c>
      <c r="V131" s="2" t="s">
        <v>855</v>
      </c>
      <c r="W131" s="2"/>
    </row>
    <row r="132" spans="1:23" x14ac:dyDescent="0.25">
      <c r="A132" s="1">
        <v>131</v>
      </c>
      <c r="B132" s="1">
        <v>401</v>
      </c>
      <c r="C132" s="1" t="e">
        <f>VLOOKUP(B132,[1]Interviewer!B$2:C$193,2,0)</f>
        <v>#N/A</v>
      </c>
      <c r="D132" s="2" t="s">
        <v>588</v>
      </c>
      <c r="E132" s="23" t="s">
        <v>589</v>
      </c>
      <c r="F132" s="4" t="s">
        <v>590</v>
      </c>
      <c r="G132" s="4" t="s">
        <v>51</v>
      </c>
      <c r="H132" s="4" t="s">
        <v>591</v>
      </c>
      <c r="I132" s="25" t="s">
        <v>592</v>
      </c>
      <c r="J132" s="1" t="s">
        <v>27</v>
      </c>
      <c r="K132" s="4">
        <v>9635701999</v>
      </c>
      <c r="L132" s="2" t="s">
        <v>327</v>
      </c>
      <c r="M132" s="1" t="s">
        <v>328</v>
      </c>
      <c r="N132" s="1">
        <v>374</v>
      </c>
      <c r="O132" s="1">
        <v>36</v>
      </c>
      <c r="P132" s="9">
        <f t="shared" si="12"/>
        <v>13464</v>
      </c>
      <c r="Q132" s="9">
        <v>3500</v>
      </c>
      <c r="R132" s="9">
        <f t="shared" si="13"/>
        <v>9964</v>
      </c>
      <c r="S132" s="9">
        <f t="shared" si="14"/>
        <v>100</v>
      </c>
      <c r="T132" s="17">
        <f t="shared" si="15"/>
        <v>9864</v>
      </c>
      <c r="U132" s="2" t="s">
        <v>722</v>
      </c>
      <c r="V132" s="2"/>
      <c r="W132" s="2"/>
    </row>
    <row r="133" spans="1:23" x14ac:dyDescent="0.25">
      <c r="A133" s="1">
        <v>132</v>
      </c>
      <c r="B133" s="1">
        <v>402</v>
      </c>
      <c r="C133" s="1" t="e">
        <f>VLOOKUP(B133,[1]Interviewer!B$2:C$193,2,0)</f>
        <v>#N/A</v>
      </c>
      <c r="D133" s="2" t="s">
        <v>322</v>
      </c>
      <c r="E133" s="23" t="s">
        <v>323</v>
      </c>
      <c r="F133" s="4" t="s">
        <v>324</v>
      </c>
      <c r="G133" s="4" t="s">
        <v>33</v>
      </c>
      <c r="H133" s="4" t="s">
        <v>325</v>
      </c>
      <c r="I133" s="25" t="s">
        <v>326</v>
      </c>
      <c r="J133" s="1" t="s">
        <v>27</v>
      </c>
      <c r="K133" s="4">
        <v>8768483029</v>
      </c>
      <c r="L133" s="2" t="s">
        <v>327</v>
      </c>
      <c r="M133" s="1" t="s">
        <v>328</v>
      </c>
      <c r="N133" s="1">
        <v>114</v>
      </c>
      <c r="O133" s="1">
        <v>36</v>
      </c>
      <c r="P133" s="9">
        <f t="shared" si="12"/>
        <v>4104</v>
      </c>
      <c r="Q133" s="9">
        <v>2000</v>
      </c>
      <c r="R133" s="9">
        <f t="shared" si="13"/>
        <v>2104</v>
      </c>
      <c r="S133" s="9">
        <f t="shared" si="14"/>
        <v>21</v>
      </c>
      <c r="T133" s="17">
        <f t="shared" si="15"/>
        <v>2083</v>
      </c>
      <c r="U133" s="2" t="s">
        <v>715</v>
      </c>
      <c r="V133" s="2"/>
      <c r="W133" s="2"/>
    </row>
    <row r="134" spans="1:23" x14ac:dyDescent="0.25">
      <c r="A134" s="1">
        <v>133</v>
      </c>
      <c r="B134" s="1">
        <v>403</v>
      </c>
      <c r="C134" s="1" t="e">
        <f>VLOOKUP(B134,[1]Interviewer!B$2:C$193,2,0)</f>
        <v>#N/A</v>
      </c>
      <c r="D134" s="2" t="s">
        <v>329</v>
      </c>
      <c r="E134" s="23" t="s">
        <v>330</v>
      </c>
      <c r="F134" s="4" t="s">
        <v>331</v>
      </c>
      <c r="G134" s="4" t="s">
        <v>178</v>
      </c>
      <c r="H134" s="4" t="s">
        <v>332</v>
      </c>
      <c r="I134" s="25" t="s">
        <v>333</v>
      </c>
      <c r="J134" s="1" t="s">
        <v>27</v>
      </c>
      <c r="K134" s="4">
        <v>9242262259</v>
      </c>
      <c r="L134" s="2" t="s">
        <v>327</v>
      </c>
      <c r="M134" s="1" t="s">
        <v>328</v>
      </c>
      <c r="N134" s="1">
        <v>125</v>
      </c>
      <c r="O134" s="1">
        <v>36</v>
      </c>
      <c r="P134" s="9">
        <f t="shared" si="12"/>
        <v>4500</v>
      </c>
      <c r="Q134" s="9">
        <v>1500</v>
      </c>
      <c r="R134" s="9">
        <f t="shared" si="13"/>
        <v>3000</v>
      </c>
      <c r="S134" s="9">
        <f t="shared" si="14"/>
        <v>30</v>
      </c>
      <c r="T134" s="17">
        <f t="shared" si="15"/>
        <v>2970</v>
      </c>
      <c r="U134" s="2" t="s">
        <v>715</v>
      </c>
      <c r="V134" s="2"/>
      <c r="W134" s="2"/>
    </row>
    <row r="135" spans="1:23" x14ac:dyDescent="0.25">
      <c r="A135" s="1">
        <v>134</v>
      </c>
      <c r="B135" s="1">
        <v>404</v>
      </c>
      <c r="C135" s="1" t="s">
        <v>716</v>
      </c>
      <c r="D135" s="2" t="s">
        <v>902</v>
      </c>
      <c r="E135" s="23" t="s">
        <v>903</v>
      </c>
      <c r="F135" s="4" t="s">
        <v>331</v>
      </c>
      <c r="G135" s="4" t="s">
        <v>45</v>
      </c>
      <c r="H135" s="4" t="s">
        <v>904</v>
      </c>
      <c r="I135" s="25" t="s">
        <v>905</v>
      </c>
      <c r="J135" s="1" t="s">
        <v>27</v>
      </c>
      <c r="K135" s="4">
        <v>9064596434</v>
      </c>
      <c r="L135" s="2" t="s">
        <v>327</v>
      </c>
      <c r="M135" s="1" t="s">
        <v>328</v>
      </c>
      <c r="N135" s="1">
        <v>19</v>
      </c>
      <c r="O135" s="1">
        <v>36</v>
      </c>
      <c r="P135" s="9">
        <f t="shared" si="12"/>
        <v>684</v>
      </c>
      <c r="Q135" s="9">
        <v>500</v>
      </c>
      <c r="R135" s="9">
        <f t="shared" si="13"/>
        <v>184</v>
      </c>
      <c r="S135" s="9">
        <f t="shared" si="14"/>
        <v>2</v>
      </c>
      <c r="T135" s="17">
        <f t="shared" si="15"/>
        <v>182</v>
      </c>
      <c r="U135" s="2" t="s">
        <v>473</v>
      </c>
      <c r="V135" s="2" t="s">
        <v>906</v>
      </c>
      <c r="W135" s="2"/>
    </row>
    <row r="136" spans="1:23" x14ac:dyDescent="0.25">
      <c r="A136" s="1">
        <v>135</v>
      </c>
      <c r="B136" s="1">
        <v>406</v>
      </c>
      <c r="C136" s="1" t="e">
        <f>VLOOKUP(B136,[1]Interviewer!B$2:C$193,2,0)</f>
        <v>#N/A</v>
      </c>
      <c r="D136" s="2" t="s">
        <v>334</v>
      </c>
      <c r="E136" s="23" t="s">
        <v>335</v>
      </c>
      <c r="F136" s="4" t="s">
        <v>336</v>
      </c>
      <c r="G136" s="4" t="s">
        <v>337</v>
      </c>
      <c r="H136" s="4" t="s">
        <v>338</v>
      </c>
      <c r="I136" s="25" t="s">
        <v>339</v>
      </c>
      <c r="J136" s="1" t="s">
        <v>27</v>
      </c>
      <c r="K136" s="4">
        <v>8670474384</v>
      </c>
      <c r="L136" s="4" t="s">
        <v>327</v>
      </c>
      <c r="M136" s="1" t="s">
        <v>328</v>
      </c>
      <c r="N136" s="1">
        <v>328</v>
      </c>
      <c r="O136" s="1">
        <v>36</v>
      </c>
      <c r="P136" s="9">
        <f t="shared" si="12"/>
        <v>11808</v>
      </c>
      <c r="Q136" s="9">
        <v>5000</v>
      </c>
      <c r="R136" s="9">
        <f t="shared" si="13"/>
        <v>6808</v>
      </c>
      <c r="S136" s="9">
        <f t="shared" si="14"/>
        <v>68</v>
      </c>
      <c r="T136" s="17">
        <f t="shared" si="15"/>
        <v>6740</v>
      </c>
      <c r="U136" s="2" t="s">
        <v>715</v>
      </c>
      <c r="V136" s="2"/>
      <c r="W136" s="2"/>
    </row>
    <row r="137" spans="1:23" x14ac:dyDescent="0.25">
      <c r="A137" s="1">
        <v>136</v>
      </c>
      <c r="B137" s="1">
        <v>409</v>
      </c>
      <c r="C137" s="1" t="e">
        <f>VLOOKUP(B137,[1]Interviewer!B$2:C$193,2,0)</f>
        <v>#N/A</v>
      </c>
      <c r="D137" s="2" t="s">
        <v>593</v>
      </c>
      <c r="E137" s="23" t="s">
        <v>594</v>
      </c>
      <c r="F137" s="4" t="s">
        <v>595</v>
      </c>
      <c r="G137" s="4" t="s">
        <v>51</v>
      </c>
      <c r="H137" s="4" t="s">
        <v>596</v>
      </c>
      <c r="I137" s="25" t="s">
        <v>597</v>
      </c>
      <c r="J137" s="1" t="s">
        <v>27</v>
      </c>
      <c r="K137" s="4">
        <v>6295601613</v>
      </c>
      <c r="L137" s="2" t="s">
        <v>327</v>
      </c>
      <c r="M137" s="1" t="s">
        <v>328</v>
      </c>
      <c r="N137" s="1">
        <v>45</v>
      </c>
      <c r="O137" s="1">
        <v>36</v>
      </c>
      <c r="P137" s="9">
        <f t="shared" si="12"/>
        <v>1620</v>
      </c>
      <c r="Q137" s="9">
        <v>500</v>
      </c>
      <c r="R137" s="9">
        <f t="shared" si="13"/>
        <v>1120</v>
      </c>
      <c r="S137" s="9">
        <f t="shared" si="14"/>
        <v>11</v>
      </c>
      <c r="T137" s="17">
        <f t="shared" si="15"/>
        <v>1109</v>
      </c>
      <c r="U137" s="2" t="s">
        <v>722</v>
      </c>
      <c r="V137" s="2"/>
      <c r="W137" s="2"/>
    </row>
    <row r="138" spans="1:23" x14ac:dyDescent="0.25">
      <c r="A138" s="1">
        <v>137</v>
      </c>
      <c r="B138" s="1">
        <v>410</v>
      </c>
      <c r="C138" s="1" t="e">
        <f>VLOOKUP(B138,[1]Interviewer!B$2:C$193,2,0)</f>
        <v>#N/A</v>
      </c>
      <c r="D138" s="2" t="s">
        <v>598</v>
      </c>
      <c r="E138" s="23" t="s">
        <v>599</v>
      </c>
      <c r="F138" s="4" t="s">
        <v>600</v>
      </c>
      <c r="G138" s="4" t="s">
        <v>51</v>
      </c>
      <c r="H138" s="4" t="s">
        <v>601</v>
      </c>
      <c r="I138" s="25" t="s">
        <v>602</v>
      </c>
      <c r="J138" s="1" t="s">
        <v>27</v>
      </c>
      <c r="K138" s="4">
        <v>6297447682</v>
      </c>
      <c r="L138" s="2" t="s">
        <v>327</v>
      </c>
      <c r="M138" s="1" t="s">
        <v>328</v>
      </c>
      <c r="N138" s="1">
        <v>24</v>
      </c>
      <c r="O138" s="1">
        <v>36</v>
      </c>
      <c r="P138" s="9">
        <f t="shared" si="12"/>
        <v>864</v>
      </c>
      <c r="Q138" s="9">
        <v>500</v>
      </c>
      <c r="R138" s="9">
        <f t="shared" si="13"/>
        <v>364</v>
      </c>
      <c r="S138" s="9">
        <f t="shared" si="14"/>
        <v>4</v>
      </c>
      <c r="T138" s="17">
        <f t="shared" si="15"/>
        <v>360</v>
      </c>
      <c r="U138" s="2" t="s">
        <v>722</v>
      </c>
      <c r="V138" s="2"/>
      <c r="W138" s="2"/>
    </row>
    <row r="139" spans="1:23" x14ac:dyDescent="0.25">
      <c r="A139" s="1">
        <v>138</v>
      </c>
      <c r="B139" s="1">
        <v>411</v>
      </c>
      <c r="C139" s="1" t="e">
        <f>VLOOKUP(B139,[1]Interviewer!B$2:C$193,2,0)</f>
        <v>#N/A</v>
      </c>
      <c r="D139" s="2" t="s">
        <v>340</v>
      </c>
      <c r="E139" s="23" t="s">
        <v>341</v>
      </c>
      <c r="F139" s="4" t="s">
        <v>342</v>
      </c>
      <c r="G139" s="4" t="s">
        <v>24</v>
      </c>
      <c r="H139" s="4" t="s">
        <v>343</v>
      </c>
      <c r="I139" s="25" t="s">
        <v>344</v>
      </c>
      <c r="J139" s="1" t="s">
        <v>27</v>
      </c>
      <c r="K139" s="4">
        <v>9093591391</v>
      </c>
      <c r="L139" s="2" t="s">
        <v>345</v>
      </c>
      <c r="M139" s="1" t="s">
        <v>328</v>
      </c>
      <c r="N139" s="1">
        <v>283</v>
      </c>
      <c r="O139" s="1">
        <v>36</v>
      </c>
      <c r="P139" s="9">
        <f t="shared" si="12"/>
        <v>10188</v>
      </c>
      <c r="Q139" s="9">
        <v>1750</v>
      </c>
      <c r="R139" s="9">
        <f t="shared" si="13"/>
        <v>8438</v>
      </c>
      <c r="S139" s="9">
        <f t="shared" si="14"/>
        <v>84</v>
      </c>
      <c r="T139" s="17">
        <f t="shared" si="15"/>
        <v>8354</v>
      </c>
      <c r="U139" s="2" t="s">
        <v>715</v>
      </c>
      <c r="V139" s="2"/>
      <c r="W139" s="2"/>
    </row>
    <row r="140" spans="1:23" x14ac:dyDescent="0.25">
      <c r="A140" s="1">
        <v>139</v>
      </c>
      <c r="B140" s="1">
        <v>412</v>
      </c>
      <c r="C140" s="1" t="e">
        <f>VLOOKUP(B140,[1]Interviewer!B$2:C$193,2,0)</f>
        <v>#N/A</v>
      </c>
      <c r="D140" s="2" t="s">
        <v>346</v>
      </c>
      <c r="E140" s="23" t="s">
        <v>347</v>
      </c>
      <c r="F140" s="4" t="s">
        <v>348</v>
      </c>
      <c r="G140" s="4" t="s">
        <v>51</v>
      </c>
      <c r="H140" s="4" t="s">
        <v>349</v>
      </c>
      <c r="I140" s="25" t="s">
        <v>350</v>
      </c>
      <c r="J140" s="1" t="s">
        <v>27</v>
      </c>
      <c r="K140" s="4">
        <v>7602916502</v>
      </c>
      <c r="L140" s="2" t="s">
        <v>345</v>
      </c>
      <c r="M140" s="1" t="s">
        <v>328</v>
      </c>
      <c r="N140" s="1">
        <v>164</v>
      </c>
      <c r="O140" s="1">
        <v>36</v>
      </c>
      <c r="P140" s="9">
        <f t="shared" si="12"/>
        <v>5904</v>
      </c>
      <c r="Q140" s="9">
        <v>3000</v>
      </c>
      <c r="R140" s="9">
        <f t="shared" si="13"/>
        <v>2904</v>
      </c>
      <c r="S140" s="9">
        <f t="shared" si="14"/>
        <v>29</v>
      </c>
      <c r="T140" s="17">
        <f t="shared" si="15"/>
        <v>2875</v>
      </c>
      <c r="U140" s="2" t="s">
        <v>715</v>
      </c>
      <c r="V140" s="2"/>
      <c r="W140" s="2"/>
    </row>
    <row r="141" spans="1:23" x14ac:dyDescent="0.25">
      <c r="A141" s="1">
        <v>140</v>
      </c>
      <c r="B141" s="1">
        <v>413</v>
      </c>
      <c r="C141" s="1" t="e">
        <f>VLOOKUP(B141,[1]Interviewer!B$2:C$193,2,0)</f>
        <v>#N/A</v>
      </c>
      <c r="D141" s="2" t="s">
        <v>346</v>
      </c>
      <c r="E141" s="23" t="s">
        <v>907</v>
      </c>
      <c r="F141" s="4" t="s">
        <v>348</v>
      </c>
      <c r="G141" s="4" t="s">
        <v>51</v>
      </c>
      <c r="H141" s="4" t="s">
        <v>870</v>
      </c>
      <c r="I141" s="25" t="s">
        <v>908</v>
      </c>
      <c r="J141" s="1" t="s">
        <v>27</v>
      </c>
      <c r="K141" s="4">
        <v>8670921540</v>
      </c>
      <c r="L141" s="2" t="s">
        <v>345</v>
      </c>
      <c r="M141" s="1" t="s">
        <v>328</v>
      </c>
      <c r="N141" s="1">
        <v>179</v>
      </c>
      <c r="O141" s="1">
        <v>36</v>
      </c>
      <c r="P141" s="9">
        <f t="shared" si="12"/>
        <v>6444</v>
      </c>
      <c r="Q141" s="9">
        <v>4500</v>
      </c>
      <c r="R141" s="9">
        <f t="shared" si="13"/>
        <v>1944</v>
      </c>
      <c r="S141" s="9">
        <v>0</v>
      </c>
      <c r="T141" s="17">
        <f t="shared" si="15"/>
        <v>1944</v>
      </c>
      <c r="U141" s="2" t="s">
        <v>871</v>
      </c>
      <c r="V141" s="2" t="s">
        <v>906</v>
      </c>
      <c r="W141" s="2"/>
    </row>
    <row r="142" spans="1:23" x14ac:dyDescent="0.25">
      <c r="A142" s="1">
        <v>141</v>
      </c>
      <c r="B142" s="1">
        <v>414</v>
      </c>
      <c r="C142" s="1" t="e">
        <f>VLOOKUP(B142,[1]Interviewer!B$2:C$193,2,0)</f>
        <v>#N/A</v>
      </c>
      <c r="D142" s="2" t="s">
        <v>603</v>
      </c>
      <c r="E142" s="23" t="s">
        <v>604</v>
      </c>
      <c r="F142" s="4" t="s">
        <v>353</v>
      </c>
      <c r="G142" s="4" t="s">
        <v>51</v>
      </c>
      <c r="H142" s="4" t="s">
        <v>605</v>
      </c>
      <c r="I142" s="25" t="s">
        <v>606</v>
      </c>
      <c r="J142" s="1" t="s">
        <v>27</v>
      </c>
      <c r="K142" s="4">
        <v>8999625167</v>
      </c>
      <c r="L142" s="2" t="s">
        <v>345</v>
      </c>
      <c r="M142" s="1" t="s">
        <v>328</v>
      </c>
      <c r="N142" s="1">
        <v>58</v>
      </c>
      <c r="O142" s="1">
        <v>36</v>
      </c>
      <c r="P142" s="9">
        <f t="shared" si="12"/>
        <v>2088</v>
      </c>
      <c r="Q142" s="9">
        <v>1500</v>
      </c>
      <c r="R142" s="9">
        <f t="shared" si="13"/>
        <v>588</v>
      </c>
      <c r="S142" s="9">
        <f t="shared" si="14"/>
        <v>6</v>
      </c>
      <c r="T142" s="17">
        <f t="shared" si="15"/>
        <v>582</v>
      </c>
      <c r="U142" s="2" t="s">
        <v>722</v>
      </c>
      <c r="V142" s="2"/>
      <c r="W142" s="2"/>
    </row>
    <row r="143" spans="1:23" x14ac:dyDescent="0.25">
      <c r="A143" s="1">
        <v>142</v>
      </c>
      <c r="B143" s="1">
        <v>415</v>
      </c>
      <c r="C143" s="1" t="e">
        <f>VLOOKUP(B143,[1]Interviewer!B$2:C$193,2,0)</f>
        <v>#N/A</v>
      </c>
      <c r="D143" s="2" t="s">
        <v>351</v>
      </c>
      <c r="E143" s="23" t="s">
        <v>352</v>
      </c>
      <c r="F143" s="4" t="s">
        <v>353</v>
      </c>
      <c r="G143" s="4" t="s">
        <v>51</v>
      </c>
      <c r="H143" s="4" t="s">
        <v>354</v>
      </c>
      <c r="I143" s="25" t="s">
        <v>355</v>
      </c>
      <c r="J143" s="1" t="s">
        <v>27</v>
      </c>
      <c r="K143" s="4">
        <v>9832759986</v>
      </c>
      <c r="L143" s="2" t="s">
        <v>345</v>
      </c>
      <c r="M143" s="1" t="s">
        <v>328</v>
      </c>
      <c r="N143" s="1">
        <v>143</v>
      </c>
      <c r="O143" s="1">
        <v>36</v>
      </c>
      <c r="P143" s="9">
        <f t="shared" si="12"/>
        <v>5148</v>
      </c>
      <c r="Q143" s="9">
        <v>1500</v>
      </c>
      <c r="R143" s="9">
        <f t="shared" si="13"/>
        <v>3648</v>
      </c>
      <c r="S143" s="9">
        <f t="shared" si="14"/>
        <v>36</v>
      </c>
      <c r="T143" s="17">
        <f t="shared" si="15"/>
        <v>3612</v>
      </c>
      <c r="U143" s="2" t="s">
        <v>715</v>
      </c>
      <c r="V143" s="2"/>
      <c r="W143" s="2"/>
    </row>
    <row r="144" spans="1:23" x14ac:dyDescent="0.25">
      <c r="A144" s="1">
        <v>143</v>
      </c>
      <c r="B144" s="1">
        <v>416</v>
      </c>
      <c r="C144" s="1" t="e">
        <f>VLOOKUP(B144,[1]Interviewer!B$2:C$193,2,0)</f>
        <v>#N/A</v>
      </c>
      <c r="D144" s="2" t="s">
        <v>909</v>
      </c>
      <c r="E144" s="3">
        <v>44414968102</v>
      </c>
      <c r="F144" s="4" t="s">
        <v>910</v>
      </c>
      <c r="G144" s="4" t="s">
        <v>51</v>
      </c>
      <c r="H144" s="4" t="s">
        <v>911</v>
      </c>
      <c r="I144" s="4"/>
      <c r="J144" s="1"/>
      <c r="K144" s="4">
        <v>9134452477</v>
      </c>
      <c r="L144" s="2" t="s">
        <v>345</v>
      </c>
      <c r="M144" s="1" t="s">
        <v>328</v>
      </c>
      <c r="N144" s="1">
        <v>269</v>
      </c>
      <c r="O144" s="1">
        <v>36</v>
      </c>
      <c r="P144" s="9">
        <f t="shared" si="12"/>
        <v>9684</v>
      </c>
      <c r="Q144" s="9">
        <v>1750</v>
      </c>
      <c r="R144" s="9">
        <f t="shared" si="13"/>
        <v>7934</v>
      </c>
      <c r="S144" s="9">
        <v>0</v>
      </c>
      <c r="T144" s="17">
        <f t="shared" si="15"/>
        <v>7934</v>
      </c>
      <c r="U144" s="2" t="s">
        <v>912</v>
      </c>
      <c r="V144" s="2" t="s">
        <v>906</v>
      </c>
      <c r="W144" s="2"/>
    </row>
    <row r="145" spans="1:23" x14ac:dyDescent="0.25">
      <c r="A145" s="1">
        <v>144</v>
      </c>
      <c r="B145" s="1">
        <v>417</v>
      </c>
      <c r="C145" s="1" t="e">
        <f>VLOOKUP(B145,[1]Interviewer!B$2:C$193,2,0)</f>
        <v>#N/A</v>
      </c>
      <c r="D145" s="2" t="s">
        <v>913</v>
      </c>
      <c r="E145" s="23" t="s">
        <v>914</v>
      </c>
      <c r="F145" s="4" t="s">
        <v>915</v>
      </c>
      <c r="G145" s="4" t="s">
        <v>916</v>
      </c>
      <c r="H145" s="4" t="s">
        <v>917</v>
      </c>
      <c r="I145" s="25" t="s">
        <v>918</v>
      </c>
      <c r="J145" s="1"/>
      <c r="K145" s="4">
        <v>8101106626</v>
      </c>
      <c r="L145" s="2" t="s">
        <v>345</v>
      </c>
      <c r="M145" s="1" t="s">
        <v>328</v>
      </c>
      <c r="N145" s="1">
        <v>140</v>
      </c>
      <c r="O145" s="1">
        <v>36</v>
      </c>
      <c r="P145" s="9">
        <f t="shared" si="12"/>
        <v>5040</v>
      </c>
      <c r="Q145" s="9">
        <v>2000</v>
      </c>
      <c r="R145" s="9">
        <f t="shared" si="13"/>
        <v>3040</v>
      </c>
      <c r="S145" s="9">
        <v>0</v>
      </c>
      <c r="T145" s="17">
        <f t="shared" si="15"/>
        <v>3040</v>
      </c>
      <c r="U145" s="2" t="s">
        <v>919</v>
      </c>
      <c r="V145" s="2" t="s">
        <v>906</v>
      </c>
      <c r="W145" s="2"/>
    </row>
    <row r="146" spans="1:23" x14ac:dyDescent="0.25">
      <c r="A146" s="1">
        <v>145</v>
      </c>
      <c r="B146" s="1">
        <v>418</v>
      </c>
      <c r="C146" s="1" t="e">
        <f>VLOOKUP(B146,[1]Interviewer!B$2:C$193,2,0)</f>
        <v>#N/A</v>
      </c>
      <c r="D146" s="2" t="s">
        <v>920</v>
      </c>
      <c r="E146" s="23" t="s">
        <v>921</v>
      </c>
      <c r="F146" s="4" t="s">
        <v>353</v>
      </c>
      <c r="G146" s="4" t="s">
        <v>51</v>
      </c>
      <c r="H146" s="4" t="s">
        <v>917</v>
      </c>
      <c r="I146" s="25" t="s">
        <v>922</v>
      </c>
      <c r="J146" s="1"/>
      <c r="K146" s="4">
        <v>9883855459</v>
      </c>
      <c r="L146" s="2" t="s">
        <v>345</v>
      </c>
      <c r="M146" s="1" t="s">
        <v>328</v>
      </c>
      <c r="N146" s="1">
        <v>79</v>
      </c>
      <c r="O146" s="1">
        <v>36</v>
      </c>
      <c r="P146" s="9">
        <f t="shared" si="12"/>
        <v>2844</v>
      </c>
      <c r="Q146" s="9">
        <v>1000</v>
      </c>
      <c r="R146" s="9">
        <f t="shared" si="13"/>
        <v>1844</v>
      </c>
      <c r="S146" s="9">
        <v>0</v>
      </c>
      <c r="T146" s="17">
        <f t="shared" si="15"/>
        <v>1844</v>
      </c>
      <c r="U146" s="2" t="s">
        <v>919</v>
      </c>
      <c r="V146" s="2" t="s">
        <v>906</v>
      </c>
      <c r="W146" s="2"/>
    </row>
    <row r="147" spans="1:23" x14ac:dyDescent="0.25">
      <c r="A147" s="1">
        <v>146</v>
      </c>
      <c r="B147" s="1">
        <v>419</v>
      </c>
      <c r="C147" s="1" t="e">
        <f>VLOOKUP(B147,[1]Interviewer!B$2:C$193,2,0)</f>
        <v>#N/A</v>
      </c>
      <c r="D147" s="2" t="s">
        <v>923</v>
      </c>
      <c r="E147" s="23" t="s">
        <v>924</v>
      </c>
      <c r="F147" s="4" t="s">
        <v>925</v>
      </c>
      <c r="G147" s="4" t="s">
        <v>926</v>
      </c>
      <c r="H147" s="4" t="s">
        <v>917</v>
      </c>
      <c r="I147" s="25" t="s">
        <v>927</v>
      </c>
      <c r="J147" s="1"/>
      <c r="K147" s="4">
        <v>8250077924</v>
      </c>
      <c r="L147" s="2" t="s">
        <v>345</v>
      </c>
      <c r="M147" s="1" t="s">
        <v>328</v>
      </c>
      <c r="N147" s="1">
        <v>52</v>
      </c>
      <c r="O147" s="1">
        <v>36</v>
      </c>
      <c r="P147" s="9">
        <f t="shared" si="12"/>
        <v>1872</v>
      </c>
      <c r="Q147" s="9">
        <v>1000</v>
      </c>
      <c r="R147" s="9">
        <f t="shared" si="13"/>
        <v>872</v>
      </c>
      <c r="S147" s="9">
        <v>0</v>
      </c>
      <c r="T147" s="17">
        <f t="shared" si="15"/>
        <v>872</v>
      </c>
      <c r="U147" s="2" t="s">
        <v>919</v>
      </c>
      <c r="V147" s="2" t="s">
        <v>906</v>
      </c>
      <c r="W147" s="2"/>
    </row>
    <row r="148" spans="1:23" x14ac:dyDescent="0.25">
      <c r="A148" s="1">
        <v>147</v>
      </c>
      <c r="B148" s="1">
        <v>420</v>
      </c>
      <c r="C148" s="1" t="e">
        <f>VLOOKUP(B148,[1]Interviewer!B$2:C$193,2,0)</f>
        <v>#N/A</v>
      </c>
      <c r="D148" s="2" t="s">
        <v>607</v>
      </c>
      <c r="E148" s="23" t="s">
        <v>608</v>
      </c>
      <c r="F148" s="4" t="s">
        <v>353</v>
      </c>
      <c r="G148" s="4" t="s">
        <v>51</v>
      </c>
      <c r="H148" s="4" t="s">
        <v>609</v>
      </c>
      <c r="I148" s="25" t="s">
        <v>610</v>
      </c>
      <c r="J148" s="1" t="s">
        <v>27</v>
      </c>
      <c r="K148" s="4">
        <v>6296016482</v>
      </c>
      <c r="L148" s="2" t="s">
        <v>345</v>
      </c>
      <c r="M148" s="1" t="s">
        <v>328</v>
      </c>
      <c r="N148" s="1">
        <v>59</v>
      </c>
      <c r="O148" s="1">
        <v>36</v>
      </c>
      <c r="P148" s="9">
        <f t="shared" si="12"/>
        <v>2124</v>
      </c>
      <c r="Q148" s="9">
        <v>500</v>
      </c>
      <c r="R148" s="9">
        <f t="shared" si="13"/>
        <v>1624</v>
      </c>
      <c r="S148" s="9">
        <f t="shared" si="14"/>
        <v>16</v>
      </c>
      <c r="T148" s="17">
        <f t="shared" si="15"/>
        <v>1608</v>
      </c>
      <c r="U148" s="2" t="s">
        <v>722</v>
      </c>
      <c r="V148" s="2"/>
      <c r="W148" s="2"/>
    </row>
    <row r="149" spans="1:23" x14ac:dyDescent="0.25">
      <c r="A149" s="1">
        <v>148</v>
      </c>
      <c r="B149" s="1">
        <v>433</v>
      </c>
      <c r="C149" s="1" t="e">
        <f>VLOOKUP(B149,[1]Interviewer!B$2:C$193,2,0)</f>
        <v>#N/A</v>
      </c>
      <c r="D149" s="2" t="s">
        <v>356</v>
      </c>
      <c r="E149" s="23" t="s">
        <v>357</v>
      </c>
      <c r="F149" s="4" t="s">
        <v>358</v>
      </c>
      <c r="G149" s="4" t="s">
        <v>24</v>
      </c>
      <c r="H149" s="4" t="s">
        <v>359</v>
      </c>
      <c r="I149" s="25" t="s">
        <v>360</v>
      </c>
      <c r="J149" s="1" t="s">
        <v>27</v>
      </c>
      <c r="K149" s="4">
        <v>9775684547</v>
      </c>
      <c r="L149" s="2" t="s">
        <v>361</v>
      </c>
      <c r="M149" s="1" t="s">
        <v>328</v>
      </c>
      <c r="N149" s="1">
        <v>142</v>
      </c>
      <c r="O149" s="1">
        <v>36</v>
      </c>
      <c r="P149" s="9">
        <f t="shared" si="12"/>
        <v>5112</v>
      </c>
      <c r="Q149" s="9">
        <v>2500</v>
      </c>
      <c r="R149" s="9">
        <f t="shared" si="13"/>
        <v>2612</v>
      </c>
      <c r="S149" s="9">
        <f t="shared" si="14"/>
        <v>26</v>
      </c>
      <c r="T149" s="17">
        <f t="shared" si="15"/>
        <v>2586</v>
      </c>
      <c r="U149" s="2" t="s">
        <v>715</v>
      </c>
      <c r="V149" s="2"/>
      <c r="W149" s="2"/>
    </row>
    <row r="150" spans="1:23" x14ac:dyDescent="0.25">
      <c r="A150" s="1">
        <v>149</v>
      </c>
      <c r="B150" s="1">
        <v>434</v>
      </c>
      <c r="C150" s="1" t="e">
        <f>VLOOKUP(B150,[1]Interviewer!B$2:C$193,2,0)</f>
        <v>#N/A</v>
      </c>
      <c r="D150" s="2" t="s">
        <v>928</v>
      </c>
      <c r="E150" s="23" t="s">
        <v>929</v>
      </c>
      <c r="F150" s="4" t="s">
        <v>930</v>
      </c>
      <c r="G150" s="4" t="s">
        <v>51</v>
      </c>
      <c r="H150" s="4" t="s">
        <v>931</v>
      </c>
      <c r="I150" s="25" t="s">
        <v>932</v>
      </c>
      <c r="J150" s="1" t="s">
        <v>735</v>
      </c>
      <c r="K150" s="4">
        <v>8509936275</v>
      </c>
      <c r="L150" s="2" t="s">
        <v>361</v>
      </c>
      <c r="M150" s="1" t="s">
        <v>328</v>
      </c>
      <c r="N150" s="1">
        <v>228</v>
      </c>
      <c r="O150" s="1">
        <v>36</v>
      </c>
      <c r="P150" s="9">
        <f t="shared" si="12"/>
        <v>8208</v>
      </c>
      <c r="Q150" s="9">
        <v>3500</v>
      </c>
      <c r="R150" s="9">
        <f t="shared" si="13"/>
        <v>4708</v>
      </c>
      <c r="S150" s="9">
        <v>0</v>
      </c>
      <c r="T150" s="17">
        <f t="shared" si="15"/>
        <v>4708</v>
      </c>
      <c r="U150" s="2" t="s">
        <v>736</v>
      </c>
      <c r="V150" s="2" t="s">
        <v>906</v>
      </c>
      <c r="W150" s="2"/>
    </row>
    <row r="151" spans="1:23" x14ac:dyDescent="0.25">
      <c r="A151" s="1">
        <v>150</v>
      </c>
      <c r="B151" s="1">
        <v>435</v>
      </c>
      <c r="C151" s="1" t="e">
        <f>VLOOKUP(B151,[1]Interviewer!B$2:C$193,2,0)</f>
        <v>#N/A</v>
      </c>
      <c r="D151" s="2" t="s">
        <v>362</v>
      </c>
      <c r="E151" s="23" t="s">
        <v>363</v>
      </c>
      <c r="F151" s="4" t="s">
        <v>364</v>
      </c>
      <c r="G151" s="4" t="s">
        <v>51</v>
      </c>
      <c r="H151" s="4" t="s">
        <v>365</v>
      </c>
      <c r="I151" s="25" t="s">
        <v>366</v>
      </c>
      <c r="J151" s="1" t="s">
        <v>27</v>
      </c>
      <c r="K151" s="4">
        <v>6296778138</v>
      </c>
      <c r="L151" s="2" t="s">
        <v>361</v>
      </c>
      <c r="M151" s="1" t="s">
        <v>328</v>
      </c>
      <c r="N151" s="1">
        <v>198</v>
      </c>
      <c r="O151" s="1">
        <v>36</v>
      </c>
      <c r="P151" s="9">
        <f t="shared" si="12"/>
        <v>7128</v>
      </c>
      <c r="Q151" s="9">
        <v>2500</v>
      </c>
      <c r="R151" s="9">
        <f t="shared" si="13"/>
        <v>4628</v>
      </c>
      <c r="S151" s="9">
        <f t="shared" si="14"/>
        <v>46</v>
      </c>
      <c r="T151" s="17">
        <f t="shared" si="15"/>
        <v>4582</v>
      </c>
      <c r="U151" s="2" t="s">
        <v>715</v>
      </c>
      <c r="V151" s="2"/>
      <c r="W151" s="2"/>
    </row>
    <row r="152" spans="1:23" x14ac:dyDescent="0.25">
      <c r="A152" s="1">
        <v>151</v>
      </c>
      <c r="B152" s="1">
        <v>437</v>
      </c>
      <c r="C152" s="1" t="s">
        <v>716</v>
      </c>
      <c r="D152" s="2" t="s">
        <v>933</v>
      </c>
      <c r="E152" s="23" t="s">
        <v>934</v>
      </c>
      <c r="F152" s="4" t="s">
        <v>930</v>
      </c>
      <c r="G152" s="4" t="s">
        <v>51</v>
      </c>
      <c r="H152" s="4" t="s">
        <v>935</v>
      </c>
      <c r="I152" s="25" t="s">
        <v>936</v>
      </c>
      <c r="J152" s="1" t="s">
        <v>27</v>
      </c>
      <c r="K152" s="4">
        <v>9749874636</v>
      </c>
      <c r="L152" s="2" t="s">
        <v>361</v>
      </c>
      <c r="M152" s="1" t="s">
        <v>328</v>
      </c>
      <c r="N152" s="1">
        <v>256</v>
      </c>
      <c r="O152" s="1">
        <v>36</v>
      </c>
      <c r="P152" s="9">
        <f t="shared" si="12"/>
        <v>9216</v>
      </c>
      <c r="Q152" s="9">
        <v>3000</v>
      </c>
      <c r="R152" s="9">
        <f t="shared" si="13"/>
        <v>6216</v>
      </c>
      <c r="S152" s="9">
        <f t="shared" si="14"/>
        <v>62</v>
      </c>
      <c r="T152" s="17">
        <f t="shared" si="15"/>
        <v>6154</v>
      </c>
      <c r="U152" s="2" t="s">
        <v>473</v>
      </c>
      <c r="V152" s="2" t="s">
        <v>906</v>
      </c>
      <c r="W152" s="2"/>
    </row>
    <row r="153" spans="1:23" x14ac:dyDescent="0.25">
      <c r="A153" s="1">
        <v>152</v>
      </c>
      <c r="B153" s="1">
        <v>441</v>
      </c>
      <c r="C153" s="1" t="e">
        <f>VLOOKUP(B153,[1]Interviewer!B$2:C$193,2,0)</f>
        <v>#N/A</v>
      </c>
      <c r="D153" s="2" t="s">
        <v>367</v>
      </c>
      <c r="E153" s="23" t="s">
        <v>368</v>
      </c>
      <c r="F153" s="4" t="s">
        <v>369</v>
      </c>
      <c r="G153" s="4" t="s">
        <v>58</v>
      </c>
      <c r="H153" s="4" t="s">
        <v>370</v>
      </c>
      <c r="I153" s="25" t="s">
        <v>371</v>
      </c>
      <c r="J153" s="1" t="s">
        <v>27</v>
      </c>
      <c r="K153" s="4">
        <v>7029005657</v>
      </c>
      <c r="L153" s="2" t="s">
        <v>372</v>
      </c>
      <c r="M153" s="1" t="s">
        <v>328</v>
      </c>
      <c r="N153" s="1">
        <v>68</v>
      </c>
      <c r="O153" s="1">
        <v>36</v>
      </c>
      <c r="P153" s="9">
        <f t="shared" si="12"/>
        <v>2448</v>
      </c>
      <c r="Q153" s="9">
        <v>500</v>
      </c>
      <c r="R153" s="9">
        <f t="shared" si="13"/>
        <v>1948</v>
      </c>
      <c r="S153" s="9">
        <f t="shared" si="14"/>
        <v>19</v>
      </c>
      <c r="T153" s="17">
        <f t="shared" si="15"/>
        <v>1929</v>
      </c>
      <c r="U153" s="2" t="s">
        <v>715</v>
      </c>
      <c r="V153" s="2"/>
      <c r="W153" s="2"/>
    </row>
    <row r="154" spans="1:23" x14ac:dyDescent="0.25">
      <c r="A154" s="1">
        <v>153</v>
      </c>
      <c r="B154" s="1">
        <v>442</v>
      </c>
      <c r="C154" s="1" t="e">
        <f>VLOOKUP(B154,[1]Interviewer!B$2:C$193,2,0)</f>
        <v>#N/A</v>
      </c>
      <c r="D154" s="2" t="s">
        <v>373</v>
      </c>
      <c r="E154" s="23" t="s">
        <v>374</v>
      </c>
      <c r="F154" s="4" t="s">
        <v>375</v>
      </c>
      <c r="G154" s="4" t="s">
        <v>376</v>
      </c>
      <c r="H154" s="4" t="s">
        <v>377</v>
      </c>
      <c r="I154" s="25" t="s">
        <v>378</v>
      </c>
      <c r="J154" s="1" t="s">
        <v>27</v>
      </c>
      <c r="K154" s="4">
        <v>6296374096</v>
      </c>
      <c r="L154" s="2" t="s">
        <v>372</v>
      </c>
      <c r="M154" s="1" t="s">
        <v>328</v>
      </c>
      <c r="N154" s="1">
        <v>73</v>
      </c>
      <c r="O154" s="1">
        <v>36</v>
      </c>
      <c r="P154" s="9">
        <f t="shared" si="12"/>
        <v>2628</v>
      </c>
      <c r="Q154" s="9">
        <v>500</v>
      </c>
      <c r="R154" s="9">
        <f t="shared" si="13"/>
        <v>2128</v>
      </c>
      <c r="S154" s="9">
        <f t="shared" si="14"/>
        <v>21</v>
      </c>
      <c r="T154" s="17">
        <f t="shared" si="15"/>
        <v>2107</v>
      </c>
      <c r="U154" s="2" t="s">
        <v>715</v>
      </c>
      <c r="V154" s="2"/>
      <c r="W154" s="2"/>
    </row>
    <row r="155" spans="1:23" x14ac:dyDescent="0.25">
      <c r="A155" s="1">
        <v>154</v>
      </c>
      <c r="B155" s="1">
        <v>443</v>
      </c>
      <c r="C155" s="1" t="e">
        <f>VLOOKUP(B155,[1]Interviewer!B$2:C$193,2,0)</f>
        <v>#N/A</v>
      </c>
      <c r="D155" s="2" t="s">
        <v>379</v>
      </c>
      <c r="E155" s="23" t="s">
        <v>380</v>
      </c>
      <c r="F155" s="4" t="s">
        <v>381</v>
      </c>
      <c r="G155" s="4" t="s">
        <v>51</v>
      </c>
      <c r="H155" s="4" t="s">
        <v>382</v>
      </c>
      <c r="I155" s="25" t="s">
        <v>383</v>
      </c>
      <c r="J155" s="1" t="s">
        <v>27</v>
      </c>
      <c r="K155" s="4">
        <v>8515834765</v>
      </c>
      <c r="L155" s="2" t="s">
        <v>372</v>
      </c>
      <c r="M155" s="1" t="s">
        <v>328</v>
      </c>
      <c r="N155" s="1">
        <v>82</v>
      </c>
      <c r="O155" s="1">
        <v>36</v>
      </c>
      <c r="P155" s="9">
        <f t="shared" si="12"/>
        <v>2952</v>
      </c>
      <c r="Q155" s="9">
        <v>500</v>
      </c>
      <c r="R155" s="9">
        <f t="shared" si="13"/>
        <v>2452</v>
      </c>
      <c r="S155" s="9">
        <f t="shared" si="14"/>
        <v>25</v>
      </c>
      <c r="T155" s="17">
        <f t="shared" si="15"/>
        <v>2427</v>
      </c>
      <c r="U155" s="2" t="s">
        <v>715</v>
      </c>
      <c r="V155" s="2"/>
      <c r="W155" s="2"/>
    </row>
    <row r="156" spans="1:23" x14ac:dyDescent="0.25">
      <c r="A156" s="1">
        <v>155</v>
      </c>
      <c r="B156" s="1">
        <v>444</v>
      </c>
      <c r="C156" s="1" t="e">
        <f>VLOOKUP(B156,[1]Interviewer!B$2:C$193,2,0)</f>
        <v>#N/A</v>
      </c>
      <c r="D156" s="2" t="s">
        <v>384</v>
      </c>
      <c r="E156" s="23" t="s">
        <v>385</v>
      </c>
      <c r="F156" s="4" t="s">
        <v>386</v>
      </c>
      <c r="G156" s="4" t="s">
        <v>51</v>
      </c>
      <c r="H156" s="4" t="s">
        <v>387</v>
      </c>
      <c r="I156" s="25" t="s">
        <v>388</v>
      </c>
      <c r="J156" s="1" t="s">
        <v>27</v>
      </c>
      <c r="K156" s="4">
        <v>9734829472</v>
      </c>
      <c r="L156" s="2" t="s">
        <v>372</v>
      </c>
      <c r="M156" s="1" t="s">
        <v>328</v>
      </c>
      <c r="N156" s="1">
        <v>86</v>
      </c>
      <c r="O156" s="1">
        <v>36</v>
      </c>
      <c r="P156" s="9">
        <f t="shared" si="12"/>
        <v>3096</v>
      </c>
      <c r="Q156" s="9">
        <v>500</v>
      </c>
      <c r="R156" s="9">
        <f t="shared" si="13"/>
        <v>2596</v>
      </c>
      <c r="S156" s="9">
        <f t="shared" si="14"/>
        <v>26</v>
      </c>
      <c r="T156" s="17">
        <f t="shared" si="15"/>
        <v>2570</v>
      </c>
      <c r="U156" s="2" t="s">
        <v>715</v>
      </c>
      <c r="V156" s="2"/>
      <c r="W156" s="2"/>
    </row>
    <row r="157" spans="1:23" x14ac:dyDescent="0.25">
      <c r="A157" s="1">
        <v>156</v>
      </c>
      <c r="B157" s="1">
        <v>445</v>
      </c>
      <c r="C157" s="1" t="e">
        <f>VLOOKUP(B157,[1]Interviewer!B$2:C$193,2,0)</f>
        <v>#N/A</v>
      </c>
      <c r="D157" s="2" t="s">
        <v>389</v>
      </c>
      <c r="E157" s="23" t="s">
        <v>390</v>
      </c>
      <c r="F157" s="4" t="s">
        <v>391</v>
      </c>
      <c r="G157" s="4" t="s">
        <v>51</v>
      </c>
      <c r="H157" s="4" t="s">
        <v>392</v>
      </c>
      <c r="I157" s="25" t="s">
        <v>393</v>
      </c>
      <c r="J157" s="1" t="s">
        <v>27</v>
      </c>
      <c r="K157" s="4">
        <v>6296451278</v>
      </c>
      <c r="L157" s="2" t="s">
        <v>372</v>
      </c>
      <c r="M157" s="1" t="s">
        <v>328</v>
      </c>
      <c r="N157" s="1">
        <v>59</v>
      </c>
      <c r="O157" s="1">
        <v>36</v>
      </c>
      <c r="P157" s="9">
        <f t="shared" si="12"/>
        <v>2124</v>
      </c>
      <c r="Q157" s="9">
        <v>500</v>
      </c>
      <c r="R157" s="9">
        <f t="shared" si="13"/>
        <v>1624</v>
      </c>
      <c r="S157" s="9">
        <f t="shared" si="14"/>
        <v>16</v>
      </c>
      <c r="T157" s="17">
        <f t="shared" si="15"/>
        <v>1608</v>
      </c>
      <c r="U157" s="2" t="s">
        <v>715</v>
      </c>
      <c r="V157" s="2"/>
      <c r="W157" s="2"/>
    </row>
    <row r="158" spans="1:23" x14ac:dyDescent="0.25">
      <c r="A158" s="1">
        <v>157</v>
      </c>
      <c r="B158" s="1">
        <v>446</v>
      </c>
      <c r="C158" s="1" t="e">
        <f>VLOOKUP(B158,[1]Interviewer!B$2:C$193,2,0)</f>
        <v>#N/A</v>
      </c>
      <c r="D158" s="2" t="s">
        <v>394</v>
      </c>
      <c r="E158" s="23" t="s">
        <v>395</v>
      </c>
      <c r="F158" s="4" t="s">
        <v>396</v>
      </c>
      <c r="G158" s="4" t="s">
        <v>178</v>
      </c>
      <c r="H158" s="4" t="s">
        <v>397</v>
      </c>
      <c r="I158" s="25" t="s">
        <v>398</v>
      </c>
      <c r="J158" s="1" t="s">
        <v>27</v>
      </c>
      <c r="K158" s="4">
        <v>9775020871</v>
      </c>
      <c r="L158" s="2" t="s">
        <v>372</v>
      </c>
      <c r="M158" s="1" t="s">
        <v>328</v>
      </c>
      <c r="N158" s="1">
        <v>49</v>
      </c>
      <c r="O158" s="1">
        <v>36</v>
      </c>
      <c r="P158" s="9">
        <f t="shared" si="12"/>
        <v>1764</v>
      </c>
      <c r="Q158" s="9">
        <v>1500</v>
      </c>
      <c r="R158" s="9">
        <f t="shared" si="13"/>
        <v>264</v>
      </c>
      <c r="S158" s="9">
        <f t="shared" si="14"/>
        <v>3</v>
      </c>
      <c r="T158" s="17">
        <f t="shared" si="15"/>
        <v>261</v>
      </c>
      <c r="U158" s="2" t="s">
        <v>715</v>
      </c>
      <c r="V158" s="2"/>
      <c r="W158" s="2"/>
    </row>
    <row r="159" spans="1:23" x14ac:dyDescent="0.25">
      <c r="A159" s="1">
        <v>158</v>
      </c>
      <c r="B159" s="1">
        <v>447</v>
      </c>
      <c r="C159" s="1" t="s">
        <v>716</v>
      </c>
      <c r="D159" s="2" t="s">
        <v>937</v>
      </c>
      <c r="E159" s="23" t="s">
        <v>938</v>
      </c>
      <c r="F159" s="4" t="s">
        <v>939</v>
      </c>
      <c r="G159" s="4" t="s">
        <v>314</v>
      </c>
      <c r="H159" s="4" t="s">
        <v>940</v>
      </c>
      <c r="I159" s="25" t="s">
        <v>941</v>
      </c>
      <c r="J159" s="1" t="s">
        <v>27</v>
      </c>
      <c r="K159" s="4">
        <v>9547492489</v>
      </c>
      <c r="L159" s="2" t="s">
        <v>372</v>
      </c>
      <c r="M159" s="1" t="s">
        <v>328</v>
      </c>
      <c r="N159" s="1">
        <v>13</v>
      </c>
      <c r="O159" s="1">
        <v>36</v>
      </c>
      <c r="P159" s="9">
        <f t="shared" si="12"/>
        <v>468</v>
      </c>
      <c r="Q159" s="9">
        <v>0</v>
      </c>
      <c r="R159" s="9">
        <f t="shared" si="13"/>
        <v>468</v>
      </c>
      <c r="S159" s="9">
        <f t="shared" si="14"/>
        <v>5</v>
      </c>
      <c r="T159" s="17">
        <f t="shared" si="15"/>
        <v>463</v>
      </c>
      <c r="U159" s="2" t="s">
        <v>473</v>
      </c>
      <c r="V159" s="2" t="s">
        <v>906</v>
      </c>
      <c r="W159" s="2"/>
    </row>
    <row r="160" spans="1:23" x14ac:dyDescent="0.25">
      <c r="A160" s="1">
        <v>159</v>
      </c>
      <c r="B160" s="1">
        <v>461</v>
      </c>
      <c r="C160" s="1" t="e">
        <f>VLOOKUP(B160,[1]Interviewer!B$2:C$193,2,0)</f>
        <v>#N/A</v>
      </c>
      <c r="D160" s="2" t="s">
        <v>611</v>
      </c>
      <c r="E160" s="23" t="s">
        <v>612</v>
      </c>
      <c r="F160" s="4" t="s">
        <v>613</v>
      </c>
      <c r="G160" s="4" t="s">
        <v>45</v>
      </c>
      <c r="H160" s="4" t="s">
        <v>614</v>
      </c>
      <c r="I160" s="25" t="s">
        <v>615</v>
      </c>
      <c r="J160" s="1" t="s">
        <v>27</v>
      </c>
      <c r="K160" s="4">
        <v>8100154173</v>
      </c>
      <c r="L160" s="2" t="s">
        <v>361</v>
      </c>
      <c r="M160" s="1" t="s">
        <v>328</v>
      </c>
      <c r="N160" s="1">
        <v>194</v>
      </c>
      <c r="O160" s="1">
        <v>36</v>
      </c>
      <c r="P160" s="9">
        <f t="shared" si="12"/>
        <v>6984</v>
      </c>
      <c r="Q160" s="9">
        <v>3000</v>
      </c>
      <c r="R160" s="9">
        <f t="shared" si="13"/>
        <v>3984</v>
      </c>
      <c r="S160" s="9">
        <f t="shared" si="14"/>
        <v>40</v>
      </c>
      <c r="T160" s="17">
        <f t="shared" si="15"/>
        <v>3944</v>
      </c>
      <c r="U160" s="2" t="s">
        <v>942</v>
      </c>
      <c r="V160" s="2" t="s">
        <v>906</v>
      </c>
      <c r="W160" s="2"/>
    </row>
    <row r="161" spans="1:23" x14ac:dyDescent="0.25">
      <c r="A161" s="1">
        <v>160</v>
      </c>
      <c r="B161" s="1">
        <v>462</v>
      </c>
      <c r="C161" s="1" t="e">
        <f>VLOOKUP(B161,[1]Interviewer!B$2:C$193,2,0)</f>
        <v>#N/A</v>
      </c>
      <c r="D161" s="2" t="s">
        <v>616</v>
      </c>
      <c r="E161" s="23" t="s">
        <v>617</v>
      </c>
      <c r="F161" s="4" t="s">
        <v>618</v>
      </c>
      <c r="G161" s="4" t="s">
        <v>51</v>
      </c>
      <c r="H161" s="4" t="s">
        <v>619</v>
      </c>
      <c r="I161" s="25" t="s">
        <v>620</v>
      </c>
      <c r="J161" s="1" t="s">
        <v>27</v>
      </c>
      <c r="K161" s="4">
        <v>8961300575</v>
      </c>
      <c r="L161" s="2" t="s">
        <v>361</v>
      </c>
      <c r="M161" s="1" t="s">
        <v>328</v>
      </c>
      <c r="N161" s="1">
        <v>208</v>
      </c>
      <c r="O161" s="1">
        <v>36</v>
      </c>
      <c r="P161" s="9">
        <f t="shared" si="12"/>
        <v>7488</v>
      </c>
      <c r="Q161" s="9">
        <v>3000</v>
      </c>
      <c r="R161" s="9">
        <f t="shared" si="13"/>
        <v>4488</v>
      </c>
      <c r="S161" s="9">
        <f t="shared" si="14"/>
        <v>45</v>
      </c>
      <c r="T161" s="17">
        <f t="shared" si="15"/>
        <v>4443</v>
      </c>
      <c r="U161" s="2" t="s">
        <v>722</v>
      </c>
      <c r="V161" s="2"/>
      <c r="W161" s="2"/>
    </row>
    <row r="162" spans="1:23" x14ac:dyDescent="0.25">
      <c r="A162" s="1">
        <v>161</v>
      </c>
      <c r="B162" s="1">
        <v>467</v>
      </c>
      <c r="C162" s="1" t="e">
        <f>VLOOKUP(B162,[1]Interviewer!B$2:C$193,2,0)</f>
        <v>#N/A</v>
      </c>
      <c r="D162" s="2" t="s">
        <v>621</v>
      </c>
      <c r="E162" s="23" t="s">
        <v>622</v>
      </c>
      <c r="F162" s="4" t="s">
        <v>623</v>
      </c>
      <c r="G162" s="4" t="s">
        <v>39</v>
      </c>
      <c r="H162" s="4" t="s">
        <v>624</v>
      </c>
      <c r="I162" s="25" t="s">
        <v>625</v>
      </c>
      <c r="J162" s="1" t="s">
        <v>27</v>
      </c>
      <c r="K162" s="4">
        <v>9134634779</v>
      </c>
      <c r="L162" s="2" t="s">
        <v>361</v>
      </c>
      <c r="M162" s="1" t="s">
        <v>328</v>
      </c>
      <c r="N162" s="1">
        <v>28</v>
      </c>
      <c r="O162" s="1">
        <v>36</v>
      </c>
      <c r="P162" s="9">
        <f t="shared" ref="P162:P193" si="16">N162*O162</f>
        <v>1008</v>
      </c>
      <c r="Q162" s="9">
        <v>0</v>
      </c>
      <c r="R162" s="9">
        <f t="shared" ref="R162:R193" si="17">P162-Q162</f>
        <v>1008</v>
      </c>
      <c r="S162" s="9">
        <f t="shared" si="14"/>
        <v>10</v>
      </c>
      <c r="T162" s="17">
        <f t="shared" si="15"/>
        <v>998</v>
      </c>
      <c r="U162" s="2" t="s">
        <v>722</v>
      </c>
      <c r="V162" s="2"/>
      <c r="W162" s="2"/>
    </row>
    <row r="163" spans="1:23" x14ac:dyDescent="0.25">
      <c r="A163" s="1">
        <v>162</v>
      </c>
      <c r="B163" s="1">
        <v>470</v>
      </c>
      <c r="C163" s="1" t="e">
        <f>VLOOKUP(B163,[1]Interviewer!B$2:C$193,2,0)</f>
        <v>#N/A</v>
      </c>
      <c r="D163" s="2" t="s">
        <v>626</v>
      </c>
      <c r="E163" s="23" t="s">
        <v>627</v>
      </c>
      <c r="F163" s="4" t="s">
        <v>628</v>
      </c>
      <c r="G163" s="4" t="s">
        <v>376</v>
      </c>
      <c r="H163" s="4" t="s">
        <v>629</v>
      </c>
      <c r="I163" s="25" t="s">
        <v>630</v>
      </c>
      <c r="J163" s="1" t="s">
        <v>27</v>
      </c>
      <c r="K163" s="4">
        <v>7001717698</v>
      </c>
      <c r="L163" s="2" t="s">
        <v>631</v>
      </c>
      <c r="M163" s="1" t="s">
        <v>328</v>
      </c>
      <c r="N163" s="1">
        <v>16</v>
      </c>
      <c r="O163" s="1">
        <v>36</v>
      </c>
      <c r="P163" s="9">
        <f t="shared" si="16"/>
        <v>576</v>
      </c>
      <c r="Q163" s="9">
        <v>0</v>
      </c>
      <c r="R163" s="9">
        <f t="shared" si="17"/>
        <v>576</v>
      </c>
      <c r="S163" s="9">
        <f t="shared" si="14"/>
        <v>6</v>
      </c>
      <c r="T163" s="17">
        <f t="shared" si="15"/>
        <v>570</v>
      </c>
      <c r="U163" s="2" t="s">
        <v>722</v>
      </c>
      <c r="V163" s="2"/>
      <c r="W163" s="2"/>
    </row>
    <row r="164" spans="1:23" x14ac:dyDescent="0.25">
      <c r="A164" s="1">
        <v>163</v>
      </c>
      <c r="B164" s="1">
        <v>471</v>
      </c>
      <c r="C164" s="1" t="e">
        <f>VLOOKUP(B164,[1]Interviewer!B$2:C$193,2,0)</f>
        <v>#N/A</v>
      </c>
      <c r="D164" s="2" t="s">
        <v>632</v>
      </c>
      <c r="E164" s="23" t="s">
        <v>633</v>
      </c>
      <c r="F164" s="4" t="s">
        <v>634</v>
      </c>
      <c r="G164" s="4" t="s">
        <v>51</v>
      </c>
      <c r="H164" s="4" t="s">
        <v>635</v>
      </c>
      <c r="I164" s="25" t="s">
        <v>636</v>
      </c>
      <c r="J164" s="1" t="s">
        <v>27</v>
      </c>
      <c r="K164" s="4">
        <v>6290366196</v>
      </c>
      <c r="L164" s="2" t="s">
        <v>631</v>
      </c>
      <c r="M164" s="1" t="s">
        <v>328</v>
      </c>
      <c r="N164" s="1">
        <v>68</v>
      </c>
      <c r="O164" s="1">
        <v>36</v>
      </c>
      <c r="P164" s="9">
        <f t="shared" si="16"/>
        <v>2448</v>
      </c>
      <c r="Q164" s="9">
        <v>1000</v>
      </c>
      <c r="R164" s="9">
        <f t="shared" si="17"/>
        <v>1448</v>
      </c>
      <c r="S164" s="9">
        <f t="shared" si="14"/>
        <v>14</v>
      </c>
      <c r="T164" s="17">
        <f t="shared" si="15"/>
        <v>1434</v>
      </c>
      <c r="U164" s="2" t="s">
        <v>722</v>
      </c>
      <c r="V164" s="2"/>
      <c r="W164" s="2"/>
    </row>
    <row r="165" spans="1:23" x14ac:dyDescent="0.25">
      <c r="A165" s="1">
        <v>164</v>
      </c>
      <c r="B165" s="1">
        <v>472</v>
      </c>
      <c r="C165" s="1" t="e">
        <f>VLOOKUP(B165,[1]Interviewer!B$2:C$193,2,0)</f>
        <v>#N/A</v>
      </c>
      <c r="D165" s="2" t="s">
        <v>637</v>
      </c>
      <c r="E165" s="23" t="s">
        <v>638</v>
      </c>
      <c r="F165" s="4" t="s">
        <v>639</v>
      </c>
      <c r="G165" s="4" t="s">
        <v>45</v>
      </c>
      <c r="H165" s="4" t="s">
        <v>640</v>
      </c>
      <c r="I165" s="25" t="s">
        <v>641</v>
      </c>
      <c r="J165" s="1" t="s">
        <v>27</v>
      </c>
      <c r="K165" s="4">
        <v>7585924247</v>
      </c>
      <c r="L165" s="2" t="s">
        <v>631</v>
      </c>
      <c r="M165" s="1" t="s">
        <v>328</v>
      </c>
      <c r="N165" s="1">
        <v>65</v>
      </c>
      <c r="O165" s="1">
        <v>36</v>
      </c>
      <c r="P165" s="9">
        <f t="shared" si="16"/>
        <v>2340</v>
      </c>
      <c r="Q165" s="9">
        <v>1000</v>
      </c>
      <c r="R165" s="9">
        <f t="shared" si="17"/>
        <v>1340</v>
      </c>
      <c r="S165" s="9">
        <f t="shared" si="14"/>
        <v>13</v>
      </c>
      <c r="T165" s="17">
        <f t="shared" si="15"/>
        <v>1327</v>
      </c>
      <c r="U165" s="2" t="s">
        <v>722</v>
      </c>
      <c r="V165" s="2"/>
      <c r="W165" s="2"/>
    </row>
    <row r="166" spans="1:23" x14ac:dyDescent="0.25">
      <c r="A166" s="1">
        <v>165</v>
      </c>
      <c r="B166" s="1">
        <v>473</v>
      </c>
      <c r="C166" s="1" t="e">
        <f>VLOOKUP(B166,[1]Interviewer!B$2:C$193,2,0)</f>
        <v>#N/A</v>
      </c>
      <c r="D166" s="2" t="s">
        <v>642</v>
      </c>
      <c r="E166" s="23" t="s">
        <v>643</v>
      </c>
      <c r="F166" s="4" t="s">
        <v>644</v>
      </c>
      <c r="G166" s="4" t="s">
        <v>51</v>
      </c>
      <c r="H166" s="4" t="s">
        <v>645</v>
      </c>
      <c r="I166" s="25" t="s">
        <v>646</v>
      </c>
      <c r="J166" s="1" t="s">
        <v>27</v>
      </c>
      <c r="K166" s="4">
        <v>9083743861</v>
      </c>
      <c r="L166" s="2" t="s">
        <v>631</v>
      </c>
      <c r="M166" s="1" t="s">
        <v>328</v>
      </c>
      <c r="N166" s="1">
        <v>8</v>
      </c>
      <c r="O166" s="1">
        <v>36</v>
      </c>
      <c r="P166" s="9">
        <f t="shared" si="16"/>
        <v>288</v>
      </c>
      <c r="Q166" s="9">
        <v>0</v>
      </c>
      <c r="R166" s="9">
        <f t="shared" si="17"/>
        <v>288</v>
      </c>
      <c r="S166" s="9">
        <f t="shared" si="14"/>
        <v>3</v>
      </c>
      <c r="T166" s="17">
        <f t="shared" si="15"/>
        <v>285</v>
      </c>
      <c r="U166" s="2" t="s">
        <v>722</v>
      </c>
      <c r="V166" s="2"/>
      <c r="W166" s="2"/>
    </row>
    <row r="167" spans="1:23" x14ac:dyDescent="0.25">
      <c r="A167" s="1">
        <v>166</v>
      </c>
      <c r="B167" s="1">
        <v>474</v>
      </c>
      <c r="C167" s="1" t="e">
        <f>VLOOKUP(B167,[1]Interviewer!B$2:C$193,2,0)</f>
        <v>#N/A</v>
      </c>
      <c r="D167" s="2" t="s">
        <v>647</v>
      </c>
      <c r="E167" s="23" t="s">
        <v>648</v>
      </c>
      <c r="F167" s="4" t="s">
        <v>649</v>
      </c>
      <c r="G167" s="4" t="s">
        <v>650</v>
      </c>
      <c r="H167" s="4" t="s">
        <v>651</v>
      </c>
      <c r="I167" s="25" t="s">
        <v>652</v>
      </c>
      <c r="J167" s="1" t="s">
        <v>27</v>
      </c>
      <c r="K167" s="4">
        <v>7608966650</v>
      </c>
      <c r="L167" s="2" t="s">
        <v>631</v>
      </c>
      <c r="M167" s="1" t="s">
        <v>328</v>
      </c>
      <c r="N167" s="1">
        <v>20</v>
      </c>
      <c r="O167" s="1">
        <v>36</v>
      </c>
      <c r="P167" s="9">
        <f t="shared" si="16"/>
        <v>720</v>
      </c>
      <c r="Q167" s="9">
        <v>0</v>
      </c>
      <c r="R167" s="9">
        <f t="shared" si="17"/>
        <v>720</v>
      </c>
      <c r="S167" s="9">
        <f t="shared" si="14"/>
        <v>7</v>
      </c>
      <c r="T167" s="17">
        <f t="shared" si="15"/>
        <v>713</v>
      </c>
      <c r="U167" s="2" t="s">
        <v>722</v>
      </c>
      <c r="V167" s="2"/>
      <c r="W167" s="2"/>
    </row>
    <row r="168" spans="1:23" x14ac:dyDescent="0.25">
      <c r="A168" s="1">
        <v>167</v>
      </c>
      <c r="B168" s="1">
        <v>476</v>
      </c>
      <c r="C168" s="1" t="e">
        <f>VLOOKUP(B168,[1]Interviewer!B$2:C$193,2,0)</f>
        <v>#N/A</v>
      </c>
      <c r="D168" s="2" t="s">
        <v>653</v>
      </c>
      <c r="E168" s="23" t="s">
        <v>654</v>
      </c>
      <c r="F168" s="4" t="s">
        <v>634</v>
      </c>
      <c r="G168" s="4" t="s">
        <v>51</v>
      </c>
      <c r="H168" s="4" t="s">
        <v>655</v>
      </c>
      <c r="I168" s="25" t="s">
        <v>656</v>
      </c>
      <c r="J168" s="1" t="s">
        <v>27</v>
      </c>
      <c r="K168" s="4">
        <v>9883284101</v>
      </c>
      <c r="L168" s="2" t="s">
        <v>631</v>
      </c>
      <c r="M168" s="1" t="s">
        <v>328</v>
      </c>
      <c r="N168" s="1">
        <v>63</v>
      </c>
      <c r="O168" s="1">
        <v>36</v>
      </c>
      <c r="P168" s="9">
        <f t="shared" si="16"/>
        <v>2268</v>
      </c>
      <c r="Q168" s="9">
        <v>1000</v>
      </c>
      <c r="R168" s="9">
        <f t="shared" si="17"/>
        <v>1268</v>
      </c>
      <c r="S168" s="9">
        <f t="shared" si="14"/>
        <v>13</v>
      </c>
      <c r="T168" s="17">
        <f t="shared" si="15"/>
        <v>1255</v>
      </c>
      <c r="U168" s="2" t="s">
        <v>722</v>
      </c>
      <c r="V168" s="2"/>
      <c r="W168" s="2"/>
    </row>
    <row r="169" spans="1:23" x14ac:dyDescent="0.25">
      <c r="A169" s="1">
        <v>168</v>
      </c>
      <c r="B169" s="1">
        <v>477</v>
      </c>
      <c r="C169" s="1" t="e">
        <f>VLOOKUP(B169,[1]Interviewer!B$2:C$193,2,0)</f>
        <v>#N/A</v>
      </c>
      <c r="D169" s="2" t="s">
        <v>943</v>
      </c>
      <c r="E169" s="23" t="s">
        <v>944</v>
      </c>
      <c r="F169" s="4" t="s">
        <v>664</v>
      </c>
      <c r="G169" s="4" t="s">
        <v>376</v>
      </c>
      <c r="H169" s="4" t="s">
        <v>945</v>
      </c>
      <c r="I169" s="25" t="s">
        <v>946</v>
      </c>
      <c r="J169" s="1" t="s">
        <v>735</v>
      </c>
      <c r="K169" s="4">
        <v>9339474881</v>
      </c>
      <c r="L169" s="2" t="s">
        <v>631</v>
      </c>
      <c r="M169" s="1" t="s">
        <v>328</v>
      </c>
      <c r="N169" s="1">
        <v>29</v>
      </c>
      <c r="O169" s="1">
        <v>36</v>
      </c>
      <c r="P169" s="9">
        <f t="shared" si="16"/>
        <v>1044</v>
      </c>
      <c r="Q169" s="9">
        <v>500</v>
      </c>
      <c r="R169" s="9">
        <f t="shared" si="17"/>
        <v>544</v>
      </c>
      <c r="S169" s="9">
        <v>0</v>
      </c>
      <c r="T169" s="17">
        <f t="shared" si="15"/>
        <v>544</v>
      </c>
      <c r="U169" s="2" t="s">
        <v>736</v>
      </c>
      <c r="V169" s="2" t="s">
        <v>906</v>
      </c>
      <c r="W169" s="2"/>
    </row>
    <row r="170" spans="1:23" x14ac:dyDescent="0.25">
      <c r="A170" s="1">
        <v>169</v>
      </c>
      <c r="B170" s="1">
        <v>478</v>
      </c>
      <c r="C170" s="1" t="e">
        <f>VLOOKUP(B170,[1]Interviewer!B$2:C$193,2,0)</f>
        <v>#N/A</v>
      </c>
      <c r="D170" s="2" t="s">
        <v>657</v>
      </c>
      <c r="E170" s="23" t="s">
        <v>658</v>
      </c>
      <c r="F170" s="4" t="s">
        <v>659</v>
      </c>
      <c r="G170" s="4" t="s">
        <v>24</v>
      </c>
      <c r="H170" s="4" t="s">
        <v>660</v>
      </c>
      <c r="I170" s="25" t="s">
        <v>661</v>
      </c>
      <c r="J170" s="1" t="s">
        <v>27</v>
      </c>
      <c r="K170" s="4">
        <v>7719343605</v>
      </c>
      <c r="L170" s="2" t="s">
        <v>631</v>
      </c>
      <c r="M170" s="1" t="s">
        <v>328</v>
      </c>
      <c r="N170" s="1">
        <v>21</v>
      </c>
      <c r="O170" s="1">
        <v>36</v>
      </c>
      <c r="P170" s="9">
        <f t="shared" si="16"/>
        <v>756</v>
      </c>
      <c r="Q170" s="9">
        <v>500</v>
      </c>
      <c r="R170" s="9">
        <f t="shared" si="17"/>
        <v>256</v>
      </c>
      <c r="S170" s="9">
        <f t="shared" si="14"/>
        <v>3</v>
      </c>
      <c r="T170" s="17">
        <f t="shared" si="15"/>
        <v>253</v>
      </c>
      <c r="U170" s="2" t="s">
        <v>722</v>
      </c>
      <c r="V170" s="2"/>
      <c r="W170" s="2"/>
    </row>
    <row r="171" spans="1:23" x14ac:dyDescent="0.25">
      <c r="A171" s="1">
        <v>170</v>
      </c>
      <c r="B171" s="1">
        <v>479</v>
      </c>
      <c r="C171" s="1" t="e">
        <f>VLOOKUP(B171,[1]Interviewer!B$2:C$193,2,0)</f>
        <v>#N/A</v>
      </c>
      <c r="D171" s="2" t="s">
        <v>662</v>
      </c>
      <c r="E171" s="23" t="s">
        <v>663</v>
      </c>
      <c r="F171" s="4" t="s">
        <v>664</v>
      </c>
      <c r="G171" s="4" t="s">
        <v>376</v>
      </c>
      <c r="H171" s="4" t="s">
        <v>665</v>
      </c>
      <c r="I171" s="25" t="s">
        <v>666</v>
      </c>
      <c r="J171" s="1" t="s">
        <v>27</v>
      </c>
      <c r="K171" s="4">
        <v>9800570986</v>
      </c>
      <c r="L171" s="2" t="s">
        <v>631</v>
      </c>
      <c r="M171" s="1" t="s">
        <v>328</v>
      </c>
      <c r="N171" s="1">
        <v>24</v>
      </c>
      <c r="O171" s="1">
        <v>36</v>
      </c>
      <c r="P171" s="9">
        <f t="shared" si="16"/>
        <v>864</v>
      </c>
      <c r="Q171" s="9">
        <v>500</v>
      </c>
      <c r="R171" s="9">
        <f t="shared" si="17"/>
        <v>364</v>
      </c>
      <c r="S171" s="9">
        <f t="shared" si="14"/>
        <v>4</v>
      </c>
      <c r="T171" s="17">
        <f t="shared" si="15"/>
        <v>360</v>
      </c>
      <c r="U171" s="2" t="s">
        <v>722</v>
      </c>
      <c r="V171" s="2"/>
      <c r="W171" s="2"/>
    </row>
    <row r="172" spans="1:23" x14ac:dyDescent="0.25">
      <c r="A172" s="1">
        <v>171</v>
      </c>
      <c r="B172" s="1">
        <v>482</v>
      </c>
      <c r="C172" s="1" t="e">
        <f>VLOOKUP(B172,[1]Interviewer!B$2:C$193,2,0)</f>
        <v>#N/A</v>
      </c>
      <c r="D172" s="2" t="s">
        <v>667</v>
      </c>
      <c r="E172" s="25" t="s">
        <v>668</v>
      </c>
      <c r="F172" s="4" t="s">
        <v>669</v>
      </c>
      <c r="G172" s="4" t="s">
        <v>24</v>
      </c>
      <c r="H172" s="4" t="s">
        <v>670</v>
      </c>
      <c r="I172" s="25" t="s">
        <v>671</v>
      </c>
      <c r="J172" s="1" t="s">
        <v>27</v>
      </c>
      <c r="K172" s="4">
        <v>8972377982</v>
      </c>
      <c r="L172" s="2" t="s">
        <v>631</v>
      </c>
      <c r="M172" s="1" t="s">
        <v>328</v>
      </c>
      <c r="N172" s="1">
        <v>10</v>
      </c>
      <c r="O172" s="1">
        <v>36</v>
      </c>
      <c r="P172" s="9">
        <f t="shared" si="16"/>
        <v>360</v>
      </c>
      <c r="Q172" s="9">
        <v>0</v>
      </c>
      <c r="R172" s="9">
        <f t="shared" si="17"/>
        <v>360</v>
      </c>
      <c r="S172" s="9">
        <f t="shared" si="14"/>
        <v>4</v>
      </c>
      <c r="T172" s="17">
        <f t="shared" si="15"/>
        <v>356</v>
      </c>
      <c r="U172" s="2" t="s">
        <v>722</v>
      </c>
      <c r="V172" s="2"/>
      <c r="W172" s="2"/>
    </row>
    <row r="173" spans="1:23" x14ac:dyDescent="0.25">
      <c r="A173" s="1">
        <v>172</v>
      </c>
      <c r="B173" s="1">
        <v>483</v>
      </c>
      <c r="C173" s="1" t="e">
        <f>VLOOKUP(B173,[1]Interviewer!B$2:C$193,2,0)</f>
        <v>#N/A</v>
      </c>
      <c r="D173" s="2" t="s">
        <v>947</v>
      </c>
      <c r="E173" s="23" t="s">
        <v>948</v>
      </c>
      <c r="F173" s="4" t="s">
        <v>949</v>
      </c>
      <c r="G173" s="4" t="s">
        <v>51</v>
      </c>
      <c r="H173" s="4" t="s">
        <v>950</v>
      </c>
      <c r="I173" s="25" t="s">
        <v>951</v>
      </c>
      <c r="J173" s="1" t="s">
        <v>27</v>
      </c>
      <c r="K173" s="4">
        <v>9647159757</v>
      </c>
      <c r="L173" s="2" t="s">
        <v>631</v>
      </c>
      <c r="M173" s="1" t="s">
        <v>328</v>
      </c>
      <c r="N173" s="1">
        <v>13</v>
      </c>
      <c r="O173" s="1">
        <v>36</v>
      </c>
      <c r="P173" s="9">
        <f t="shared" si="16"/>
        <v>468</v>
      </c>
      <c r="Q173" s="9">
        <v>468</v>
      </c>
      <c r="R173" s="9">
        <f t="shared" si="17"/>
        <v>0</v>
      </c>
      <c r="S173" s="9">
        <f t="shared" si="14"/>
        <v>0</v>
      </c>
      <c r="T173" s="17">
        <f t="shared" si="15"/>
        <v>0</v>
      </c>
      <c r="U173" s="2" t="s">
        <v>473</v>
      </c>
      <c r="V173" s="2" t="s">
        <v>745</v>
      </c>
      <c r="W173" s="2"/>
    </row>
    <row r="174" spans="1:23" x14ac:dyDescent="0.25">
      <c r="A174" s="1">
        <v>173</v>
      </c>
      <c r="B174" s="1">
        <v>484</v>
      </c>
      <c r="C174" s="1" t="e">
        <f>VLOOKUP(B174,[1]Interviewer!B$2:C$193,2,0)</f>
        <v>#N/A</v>
      </c>
      <c r="D174" s="2" t="s">
        <v>952</v>
      </c>
      <c r="E174" s="23" t="s">
        <v>953</v>
      </c>
      <c r="F174" s="4" t="s">
        <v>954</v>
      </c>
      <c r="G174" s="4" t="s">
        <v>58</v>
      </c>
      <c r="H174" s="4" t="s">
        <v>955</v>
      </c>
      <c r="I174" s="4"/>
      <c r="J174" s="1"/>
      <c r="K174" s="4">
        <v>8622991067</v>
      </c>
      <c r="L174" s="2" t="s">
        <v>956</v>
      </c>
      <c r="M174" s="1" t="s">
        <v>328</v>
      </c>
      <c r="N174" s="1">
        <v>11</v>
      </c>
      <c r="O174" s="1">
        <v>36</v>
      </c>
      <c r="P174" s="9">
        <f t="shared" si="16"/>
        <v>396</v>
      </c>
      <c r="Q174" s="9">
        <v>396</v>
      </c>
      <c r="R174" s="9">
        <f t="shared" si="17"/>
        <v>0</v>
      </c>
      <c r="S174" s="9">
        <f t="shared" si="14"/>
        <v>0</v>
      </c>
      <c r="T174" s="17">
        <f t="shared" si="15"/>
        <v>0</v>
      </c>
      <c r="U174" s="2" t="s">
        <v>957</v>
      </c>
      <c r="V174" s="2" t="s">
        <v>745</v>
      </c>
      <c r="W174" s="2"/>
    </row>
    <row r="175" spans="1:23" x14ac:dyDescent="0.25">
      <c r="A175" s="1">
        <v>174</v>
      </c>
      <c r="B175" s="1">
        <v>490</v>
      </c>
      <c r="C175" s="1" t="e">
        <f>VLOOKUP(B175,[1]Interviewer!B$2:C$193,2,0)</f>
        <v>#N/A</v>
      </c>
      <c r="D175" s="2" t="s">
        <v>399</v>
      </c>
      <c r="E175" s="23" t="s">
        <v>400</v>
      </c>
      <c r="F175" s="4" t="s">
        <v>401</v>
      </c>
      <c r="G175" s="4" t="s">
        <v>51</v>
      </c>
      <c r="H175" s="4" t="s">
        <v>402</v>
      </c>
      <c r="I175" s="25" t="s">
        <v>403</v>
      </c>
      <c r="J175" s="1" t="s">
        <v>27</v>
      </c>
      <c r="K175" s="4">
        <v>9547514226</v>
      </c>
      <c r="L175" s="2" t="s">
        <v>372</v>
      </c>
      <c r="M175" s="1" t="s">
        <v>328</v>
      </c>
      <c r="N175" s="1">
        <v>45</v>
      </c>
      <c r="O175" s="1">
        <v>36</v>
      </c>
      <c r="P175" s="9">
        <f t="shared" si="16"/>
        <v>1620</v>
      </c>
      <c r="Q175" s="9">
        <v>0</v>
      </c>
      <c r="R175" s="9">
        <f t="shared" si="17"/>
        <v>1620</v>
      </c>
      <c r="S175" s="9">
        <f t="shared" si="14"/>
        <v>16</v>
      </c>
      <c r="T175" s="17">
        <f t="shared" si="15"/>
        <v>1604</v>
      </c>
      <c r="U175" s="2" t="s">
        <v>715</v>
      </c>
      <c r="V175" s="2"/>
      <c r="W175" s="2"/>
    </row>
    <row r="176" spans="1:23" x14ac:dyDescent="0.25">
      <c r="A176" s="1">
        <v>175</v>
      </c>
      <c r="B176" s="1">
        <v>500</v>
      </c>
      <c r="C176" s="1" t="e">
        <f>VLOOKUP(B176,[1]Interviewer!B$2:C$193,2,0)</f>
        <v>#N/A</v>
      </c>
      <c r="D176" s="2" t="s">
        <v>404</v>
      </c>
      <c r="E176" s="23" t="s">
        <v>405</v>
      </c>
      <c r="F176" s="4" t="s">
        <v>406</v>
      </c>
      <c r="G176" s="4" t="s">
        <v>51</v>
      </c>
      <c r="H176" s="4" t="s">
        <v>407</v>
      </c>
      <c r="I176" s="25" t="s">
        <v>408</v>
      </c>
      <c r="J176" s="1" t="s">
        <v>27</v>
      </c>
      <c r="K176" s="4">
        <v>8250790779</v>
      </c>
      <c r="L176" s="2" t="s">
        <v>409</v>
      </c>
      <c r="M176" s="1" t="s">
        <v>410</v>
      </c>
      <c r="N176" s="1">
        <v>320</v>
      </c>
      <c r="O176" s="1">
        <v>36</v>
      </c>
      <c r="P176" s="9">
        <f t="shared" si="16"/>
        <v>11520</v>
      </c>
      <c r="Q176" s="9">
        <v>1500</v>
      </c>
      <c r="R176" s="9">
        <f t="shared" si="17"/>
        <v>10020</v>
      </c>
      <c r="S176" s="9">
        <f t="shared" si="14"/>
        <v>100</v>
      </c>
      <c r="T176" s="17">
        <f t="shared" si="15"/>
        <v>9920</v>
      </c>
      <c r="U176" s="2" t="s">
        <v>715</v>
      </c>
      <c r="V176" s="2"/>
      <c r="W176" s="2"/>
    </row>
    <row r="177" spans="1:23" x14ac:dyDescent="0.25">
      <c r="A177" s="1">
        <v>176</v>
      </c>
      <c r="B177" s="1">
        <v>501</v>
      </c>
      <c r="C177" s="1" t="e">
        <f>VLOOKUP(B177,[1]Interviewer!B$2:C$193,2,0)</f>
        <v>#N/A</v>
      </c>
      <c r="D177" s="2" t="s">
        <v>411</v>
      </c>
      <c r="E177" s="23" t="s">
        <v>412</v>
      </c>
      <c r="F177" s="4" t="s">
        <v>406</v>
      </c>
      <c r="G177" s="4" t="s">
        <v>51</v>
      </c>
      <c r="H177" s="4" t="s">
        <v>413</v>
      </c>
      <c r="I177" s="25" t="s">
        <v>414</v>
      </c>
      <c r="J177" s="1" t="s">
        <v>27</v>
      </c>
      <c r="K177" s="4">
        <v>8345811318</v>
      </c>
      <c r="L177" s="2" t="s">
        <v>409</v>
      </c>
      <c r="M177" s="1" t="s">
        <v>410</v>
      </c>
      <c r="N177" s="1">
        <v>168</v>
      </c>
      <c r="O177" s="1">
        <v>36</v>
      </c>
      <c r="P177" s="9">
        <f t="shared" si="16"/>
        <v>6048</v>
      </c>
      <c r="Q177" s="9">
        <v>1200</v>
      </c>
      <c r="R177" s="9">
        <f t="shared" si="17"/>
        <v>4848</v>
      </c>
      <c r="S177" s="9">
        <f t="shared" si="14"/>
        <v>48</v>
      </c>
      <c r="T177" s="17">
        <f t="shared" si="15"/>
        <v>4800</v>
      </c>
      <c r="U177" s="2" t="s">
        <v>715</v>
      </c>
      <c r="V177" s="2"/>
      <c r="W177" s="2"/>
    </row>
    <row r="178" spans="1:23" x14ac:dyDescent="0.25">
      <c r="A178" s="1">
        <v>177</v>
      </c>
      <c r="B178" s="1">
        <v>502</v>
      </c>
      <c r="C178" s="1" t="s">
        <v>716</v>
      </c>
      <c r="D178" s="2" t="s">
        <v>958</v>
      </c>
      <c r="E178" s="3" t="s">
        <v>959</v>
      </c>
      <c r="F178" s="4" t="s">
        <v>960</v>
      </c>
      <c r="G178" s="4" t="s">
        <v>265</v>
      </c>
      <c r="H178" s="4" t="s">
        <v>961</v>
      </c>
      <c r="I178" s="4"/>
      <c r="J178" s="1"/>
      <c r="K178" s="4">
        <v>9093128987</v>
      </c>
      <c r="L178" s="2" t="s">
        <v>409</v>
      </c>
      <c r="M178" s="1" t="s">
        <v>410</v>
      </c>
      <c r="N178" s="1">
        <v>35</v>
      </c>
      <c r="O178" s="1">
        <v>36</v>
      </c>
      <c r="P178" s="9">
        <f t="shared" si="16"/>
        <v>1260</v>
      </c>
      <c r="Q178" s="9">
        <v>1000</v>
      </c>
      <c r="R178" s="9">
        <f t="shared" si="17"/>
        <v>260</v>
      </c>
      <c r="S178" s="9">
        <f t="shared" si="14"/>
        <v>3</v>
      </c>
      <c r="T178" s="17">
        <f t="shared" si="15"/>
        <v>257</v>
      </c>
      <c r="U178" s="2" t="s">
        <v>730</v>
      </c>
      <c r="V178" s="2" t="s">
        <v>745</v>
      </c>
      <c r="W178" s="2"/>
    </row>
    <row r="179" spans="1:23" x14ac:dyDescent="0.25">
      <c r="A179" s="1">
        <v>178</v>
      </c>
      <c r="B179" s="1">
        <v>503</v>
      </c>
      <c r="C179" s="1" t="s">
        <v>716</v>
      </c>
      <c r="D179" s="2" t="s">
        <v>962</v>
      </c>
      <c r="E179" s="23" t="s">
        <v>963</v>
      </c>
      <c r="F179" s="4" t="s">
        <v>406</v>
      </c>
      <c r="G179" s="4" t="s">
        <v>51</v>
      </c>
      <c r="H179" s="4" t="s">
        <v>964</v>
      </c>
      <c r="I179" s="25" t="s">
        <v>965</v>
      </c>
      <c r="J179" s="1" t="s">
        <v>27</v>
      </c>
      <c r="K179" s="4">
        <v>9547324679</v>
      </c>
      <c r="L179" s="2" t="s">
        <v>409</v>
      </c>
      <c r="M179" s="1" t="s">
        <v>410</v>
      </c>
      <c r="N179" s="1">
        <v>31</v>
      </c>
      <c r="O179" s="1">
        <v>36</v>
      </c>
      <c r="P179" s="9">
        <f t="shared" si="16"/>
        <v>1116</v>
      </c>
      <c r="Q179" s="9">
        <v>1116</v>
      </c>
      <c r="R179" s="9">
        <f t="shared" si="17"/>
        <v>0</v>
      </c>
      <c r="S179" s="9">
        <f t="shared" si="14"/>
        <v>0</v>
      </c>
      <c r="T179" s="17">
        <f t="shared" si="15"/>
        <v>0</v>
      </c>
      <c r="U179" s="2" t="s">
        <v>473</v>
      </c>
      <c r="V179" s="2" t="s">
        <v>745</v>
      </c>
      <c r="W179" s="2"/>
    </row>
    <row r="180" spans="1:23" x14ac:dyDescent="0.25">
      <c r="A180" s="1">
        <v>179</v>
      </c>
      <c r="B180" s="1">
        <v>504</v>
      </c>
      <c r="C180" s="1" t="e">
        <f>VLOOKUP(B180,[1]Interviewer!B$2:C$193,2,0)</f>
        <v>#N/A</v>
      </c>
      <c r="D180" s="2" t="s">
        <v>672</v>
      </c>
      <c r="E180" s="23" t="s">
        <v>673</v>
      </c>
      <c r="F180" s="4" t="s">
        <v>674</v>
      </c>
      <c r="G180" s="4" t="s">
        <v>51</v>
      </c>
      <c r="H180" s="4" t="s">
        <v>675</v>
      </c>
      <c r="I180" s="25" t="s">
        <v>676</v>
      </c>
      <c r="J180" s="1" t="s">
        <v>27</v>
      </c>
      <c r="K180" s="4">
        <v>7811910580</v>
      </c>
      <c r="L180" s="2" t="s">
        <v>677</v>
      </c>
      <c r="M180" s="1" t="s">
        <v>410</v>
      </c>
      <c r="N180" s="1">
        <v>204</v>
      </c>
      <c r="O180" s="1">
        <v>36</v>
      </c>
      <c r="P180" s="9">
        <f t="shared" si="16"/>
        <v>7344</v>
      </c>
      <c r="Q180" s="9">
        <v>2000</v>
      </c>
      <c r="R180" s="9">
        <f t="shared" si="17"/>
        <v>5344</v>
      </c>
      <c r="S180" s="9">
        <f t="shared" si="14"/>
        <v>53</v>
      </c>
      <c r="T180" s="17">
        <f t="shared" si="15"/>
        <v>5291</v>
      </c>
      <c r="U180" s="2" t="s">
        <v>722</v>
      </c>
      <c r="V180" s="2"/>
      <c r="W180" s="2"/>
    </row>
    <row r="181" spans="1:23" x14ac:dyDescent="0.25">
      <c r="A181" s="1">
        <v>180</v>
      </c>
      <c r="B181" s="1">
        <v>505</v>
      </c>
      <c r="C181" s="1" t="s">
        <v>716</v>
      </c>
      <c r="D181" s="2" t="s">
        <v>966</v>
      </c>
      <c r="E181" s="3" t="s">
        <v>967</v>
      </c>
      <c r="F181" s="4" t="s">
        <v>968</v>
      </c>
      <c r="G181" s="4" t="s">
        <v>178</v>
      </c>
      <c r="H181" s="4" t="s">
        <v>969</v>
      </c>
      <c r="I181" s="25" t="s">
        <v>970</v>
      </c>
      <c r="J181" s="1" t="s">
        <v>27</v>
      </c>
      <c r="K181" s="4">
        <v>9563371820</v>
      </c>
      <c r="L181" s="2" t="s">
        <v>677</v>
      </c>
      <c r="M181" s="1" t="s">
        <v>410</v>
      </c>
      <c r="N181" s="1">
        <v>28</v>
      </c>
      <c r="O181" s="1">
        <v>36</v>
      </c>
      <c r="P181" s="9">
        <f t="shared" si="16"/>
        <v>1008</v>
      </c>
      <c r="Q181" s="9">
        <v>500</v>
      </c>
      <c r="R181" s="9">
        <f t="shared" si="17"/>
        <v>508</v>
      </c>
      <c r="S181" s="9">
        <f t="shared" si="14"/>
        <v>5</v>
      </c>
      <c r="T181" s="17">
        <f t="shared" si="15"/>
        <v>503</v>
      </c>
      <c r="U181" s="2" t="s">
        <v>473</v>
      </c>
      <c r="V181" s="2" t="s">
        <v>745</v>
      </c>
      <c r="W181" s="2"/>
    </row>
    <row r="182" spans="1:23" x14ac:dyDescent="0.25">
      <c r="A182" s="1">
        <v>181</v>
      </c>
      <c r="B182" s="1">
        <v>507</v>
      </c>
      <c r="C182" s="1" t="e">
        <f>VLOOKUP(B182,[1]Interviewer!B$2:C$193,2,0)</f>
        <v>#N/A</v>
      </c>
      <c r="D182" s="2" t="s">
        <v>678</v>
      </c>
      <c r="E182" s="23" t="s">
        <v>679</v>
      </c>
      <c r="F182" s="4" t="s">
        <v>674</v>
      </c>
      <c r="G182" s="4" t="s">
        <v>51</v>
      </c>
      <c r="H182" s="4" t="s">
        <v>680</v>
      </c>
      <c r="I182" s="25" t="s">
        <v>681</v>
      </c>
      <c r="J182" s="1" t="s">
        <v>27</v>
      </c>
      <c r="K182" s="4">
        <v>9733331201</v>
      </c>
      <c r="L182" s="2" t="s">
        <v>677</v>
      </c>
      <c r="M182" s="1" t="s">
        <v>410</v>
      </c>
      <c r="N182" s="1">
        <v>122</v>
      </c>
      <c r="O182" s="1">
        <v>36</v>
      </c>
      <c r="P182" s="9">
        <f t="shared" si="16"/>
        <v>4392</v>
      </c>
      <c r="Q182" s="9">
        <v>2000</v>
      </c>
      <c r="R182" s="9">
        <f t="shared" si="17"/>
        <v>2392</v>
      </c>
      <c r="S182" s="9">
        <f t="shared" si="14"/>
        <v>24</v>
      </c>
      <c r="T182" s="17">
        <f t="shared" si="15"/>
        <v>2368</v>
      </c>
      <c r="U182" s="2" t="s">
        <v>722</v>
      </c>
      <c r="V182" s="2"/>
      <c r="W182" s="2"/>
    </row>
    <row r="183" spans="1:23" x14ac:dyDescent="0.25">
      <c r="A183" s="1">
        <v>182</v>
      </c>
      <c r="B183" s="1">
        <v>509</v>
      </c>
      <c r="C183" s="1" t="e">
        <f>VLOOKUP(B183,[1]Interviewer!B$2:C$193,2,0)</f>
        <v>#N/A</v>
      </c>
      <c r="D183" s="2" t="s">
        <v>415</v>
      </c>
      <c r="E183" s="23" t="s">
        <v>416</v>
      </c>
      <c r="F183" s="4" t="s">
        <v>417</v>
      </c>
      <c r="G183" s="4" t="s">
        <v>265</v>
      </c>
      <c r="H183" s="4" t="s">
        <v>418</v>
      </c>
      <c r="I183" s="25" t="s">
        <v>419</v>
      </c>
      <c r="J183" s="1" t="s">
        <v>27</v>
      </c>
      <c r="K183" s="4">
        <v>6295645638</v>
      </c>
      <c r="L183" s="2" t="s">
        <v>420</v>
      </c>
      <c r="M183" s="1" t="s">
        <v>410</v>
      </c>
      <c r="N183" s="1">
        <v>181</v>
      </c>
      <c r="O183" s="1">
        <v>36</v>
      </c>
      <c r="P183" s="9">
        <f t="shared" si="16"/>
        <v>6516</v>
      </c>
      <c r="Q183" s="9">
        <v>1000</v>
      </c>
      <c r="R183" s="9">
        <f t="shared" si="17"/>
        <v>5516</v>
      </c>
      <c r="S183" s="9">
        <f t="shared" si="14"/>
        <v>55</v>
      </c>
      <c r="T183" s="17">
        <f t="shared" si="15"/>
        <v>5461</v>
      </c>
      <c r="U183" s="2" t="s">
        <v>715</v>
      </c>
      <c r="V183" s="2"/>
      <c r="W183" s="2"/>
    </row>
    <row r="184" spans="1:23" x14ac:dyDescent="0.25">
      <c r="A184" s="1">
        <v>183</v>
      </c>
      <c r="B184" s="1">
        <v>510</v>
      </c>
      <c r="C184" s="1" t="e">
        <f>VLOOKUP(B184,[1]Interviewer!B$2:C$193,2,0)</f>
        <v>#N/A</v>
      </c>
      <c r="D184" s="2" t="s">
        <v>421</v>
      </c>
      <c r="E184" s="23" t="s">
        <v>422</v>
      </c>
      <c r="F184" s="4" t="s">
        <v>423</v>
      </c>
      <c r="G184" s="4" t="s">
        <v>178</v>
      </c>
      <c r="H184" s="4" t="s">
        <v>424</v>
      </c>
      <c r="I184" s="25" t="s">
        <v>425</v>
      </c>
      <c r="J184" s="1" t="s">
        <v>27</v>
      </c>
      <c r="K184" s="4">
        <v>9851649898</v>
      </c>
      <c r="L184" s="2" t="s">
        <v>420</v>
      </c>
      <c r="M184" s="1" t="s">
        <v>410</v>
      </c>
      <c r="N184" s="1">
        <v>155</v>
      </c>
      <c r="O184" s="1">
        <v>36</v>
      </c>
      <c r="P184" s="9">
        <f t="shared" si="16"/>
        <v>5580</v>
      </c>
      <c r="Q184" s="9">
        <v>1000</v>
      </c>
      <c r="R184" s="9">
        <f t="shared" si="17"/>
        <v>4580</v>
      </c>
      <c r="S184" s="9">
        <f t="shared" si="14"/>
        <v>46</v>
      </c>
      <c r="T184" s="17">
        <f t="shared" si="15"/>
        <v>4534</v>
      </c>
      <c r="U184" s="2" t="s">
        <v>715</v>
      </c>
      <c r="V184" s="2"/>
      <c r="W184" s="2"/>
    </row>
    <row r="185" spans="1:23" x14ac:dyDescent="0.25">
      <c r="A185" s="1">
        <v>184</v>
      </c>
      <c r="B185" s="1">
        <v>512</v>
      </c>
      <c r="C185" s="1" t="e">
        <f>VLOOKUP(B185,[1]Interviewer!B$2:C$193,2,0)</f>
        <v>#N/A</v>
      </c>
      <c r="D185" s="2" t="s">
        <v>426</v>
      </c>
      <c r="E185" s="3" t="s">
        <v>427</v>
      </c>
      <c r="F185" s="4" t="s">
        <v>428</v>
      </c>
      <c r="G185" s="4" t="s">
        <v>314</v>
      </c>
      <c r="H185" s="4" t="s">
        <v>429</v>
      </c>
      <c r="I185" s="25" t="s">
        <v>430</v>
      </c>
      <c r="J185" s="1" t="s">
        <v>27</v>
      </c>
      <c r="K185" s="4">
        <v>8101179753</v>
      </c>
      <c r="L185" s="2" t="s">
        <v>420</v>
      </c>
      <c r="M185" s="1" t="s">
        <v>410</v>
      </c>
      <c r="N185" s="1">
        <v>148</v>
      </c>
      <c r="O185" s="1">
        <v>36</v>
      </c>
      <c r="P185" s="9">
        <f t="shared" si="16"/>
        <v>5328</v>
      </c>
      <c r="Q185" s="9">
        <v>500</v>
      </c>
      <c r="R185" s="9">
        <f t="shared" si="17"/>
        <v>4828</v>
      </c>
      <c r="S185" s="9">
        <f t="shared" si="14"/>
        <v>48</v>
      </c>
      <c r="T185" s="17">
        <f t="shared" si="15"/>
        <v>4780</v>
      </c>
      <c r="U185" s="2" t="s">
        <v>715</v>
      </c>
      <c r="V185" s="2"/>
      <c r="W185" s="2"/>
    </row>
    <row r="186" spans="1:23" x14ac:dyDescent="0.25">
      <c r="A186" s="1">
        <v>185</v>
      </c>
      <c r="B186" s="1">
        <v>513</v>
      </c>
      <c r="C186" s="1" t="e">
        <f>VLOOKUP(B186,[1]Interviewer!B$2:C$193,2,0)</f>
        <v>#N/A</v>
      </c>
      <c r="D186" s="2" t="s">
        <v>431</v>
      </c>
      <c r="E186" s="23" t="s">
        <v>432</v>
      </c>
      <c r="F186" s="4" t="s">
        <v>433</v>
      </c>
      <c r="G186" s="4" t="s">
        <v>51</v>
      </c>
      <c r="H186" s="4" t="s">
        <v>434</v>
      </c>
      <c r="I186" s="25" t="s">
        <v>435</v>
      </c>
      <c r="J186" s="1" t="s">
        <v>27</v>
      </c>
      <c r="K186" s="4">
        <v>7501661454</v>
      </c>
      <c r="L186" s="2" t="s">
        <v>420</v>
      </c>
      <c r="M186" s="1" t="s">
        <v>410</v>
      </c>
      <c r="N186" s="1">
        <v>286</v>
      </c>
      <c r="O186" s="1">
        <v>36</v>
      </c>
      <c r="P186" s="9">
        <f t="shared" si="16"/>
        <v>10296</v>
      </c>
      <c r="Q186" s="9">
        <v>1000</v>
      </c>
      <c r="R186" s="9">
        <f t="shared" si="17"/>
        <v>9296</v>
      </c>
      <c r="S186" s="9">
        <f t="shared" si="14"/>
        <v>93</v>
      </c>
      <c r="T186" s="17">
        <f t="shared" si="15"/>
        <v>9203</v>
      </c>
      <c r="U186" s="2" t="s">
        <v>715</v>
      </c>
      <c r="V186" s="2"/>
      <c r="W186" s="2"/>
    </row>
    <row r="187" spans="1:23" x14ac:dyDescent="0.25">
      <c r="A187" s="1">
        <v>186</v>
      </c>
      <c r="B187" s="1">
        <v>514</v>
      </c>
      <c r="C187" s="1" t="e">
        <f>VLOOKUP(B187,[1]Interviewer!B$2:C$193,2,0)</f>
        <v>#N/A</v>
      </c>
      <c r="D187" s="2" t="s">
        <v>971</v>
      </c>
      <c r="E187" s="3" t="s">
        <v>972</v>
      </c>
      <c r="F187" s="4" t="s">
        <v>973</v>
      </c>
      <c r="G187" s="4" t="s">
        <v>178</v>
      </c>
      <c r="H187" s="4" t="s">
        <v>974</v>
      </c>
      <c r="I187" s="25" t="s">
        <v>975</v>
      </c>
      <c r="J187" s="1" t="s">
        <v>27</v>
      </c>
      <c r="K187" s="4">
        <v>8170834619</v>
      </c>
      <c r="L187" s="2" t="s">
        <v>409</v>
      </c>
      <c r="M187" s="1" t="s">
        <v>410</v>
      </c>
      <c r="N187" s="1">
        <v>17</v>
      </c>
      <c r="O187" s="1">
        <v>36</v>
      </c>
      <c r="P187" s="9">
        <f t="shared" si="16"/>
        <v>612</v>
      </c>
      <c r="Q187" s="9">
        <v>612</v>
      </c>
      <c r="R187" s="9">
        <f t="shared" si="17"/>
        <v>0</v>
      </c>
      <c r="S187" s="9">
        <f t="shared" si="14"/>
        <v>0</v>
      </c>
      <c r="T187" s="17">
        <f t="shared" si="15"/>
        <v>0</v>
      </c>
      <c r="U187" s="2" t="s">
        <v>473</v>
      </c>
      <c r="V187" s="2" t="s">
        <v>745</v>
      </c>
      <c r="W187" s="2"/>
    </row>
    <row r="188" spans="1:23" x14ac:dyDescent="0.25">
      <c r="A188" s="1">
        <v>187</v>
      </c>
      <c r="B188" s="1">
        <v>515</v>
      </c>
      <c r="C188" s="1" t="e">
        <f>VLOOKUP(B188,[1]Interviewer!B$2:C$193,2,0)</f>
        <v>#N/A</v>
      </c>
      <c r="D188" s="2" t="s">
        <v>976</v>
      </c>
      <c r="E188" s="3">
        <v>3645007581</v>
      </c>
      <c r="F188" s="4" t="s">
        <v>977</v>
      </c>
      <c r="G188" s="4" t="s">
        <v>926</v>
      </c>
      <c r="H188" s="4" t="s">
        <v>978</v>
      </c>
      <c r="I188" s="4"/>
      <c r="J188" s="1"/>
      <c r="K188" s="4">
        <v>9734937666</v>
      </c>
      <c r="L188" s="2" t="s">
        <v>677</v>
      </c>
      <c r="M188" s="1" t="s">
        <v>410</v>
      </c>
      <c r="N188" s="1">
        <v>22</v>
      </c>
      <c r="O188" s="1">
        <v>36</v>
      </c>
      <c r="P188" s="9">
        <f t="shared" si="16"/>
        <v>792</v>
      </c>
      <c r="Q188" s="9">
        <v>792</v>
      </c>
      <c r="R188" s="9">
        <f t="shared" si="17"/>
        <v>0</v>
      </c>
      <c r="S188" s="9">
        <f t="shared" si="14"/>
        <v>0</v>
      </c>
      <c r="T188" s="17">
        <f t="shared" si="15"/>
        <v>0</v>
      </c>
      <c r="U188" s="2" t="s">
        <v>979</v>
      </c>
      <c r="V188" s="2" t="s">
        <v>745</v>
      </c>
      <c r="W188" s="2"/>
    </row>
    <row r="189" spans="1:23" x14ac:dyDescent="0.25">
      <c r="A189" s="1">
        <v>188</v>
      </c>
      <c r="B189" s="1">
        <v>516</v>
      </c>
      <c r="C189" s="1" t="s">
        <v>716</v>
      </c>
      <c r="D189" s="2" t="s">
        <v>980</v>
      </c>
      <c r="E189" s="3">
        <v>39021265502</v>
      </c>
      <c r="F189" s="4" t="s">
        <v>981</v>
      </c>
      <c r="G189" s="4" t="s">
        <v>51</v>
      </c>
      <c r="H189" s="4" t="s">
        <v>982</v>
      </c>
      <c r="I189" s="4"/>
      <c r="J189" s="1"/>
      <c r="K189" s="4">
        <v>7679815766</v>
      </c>
      <c r="L189" s="2" t="s">
        <v>420</v>
      </c>
      <c r="M189" s="1" t="s">
        <v>410</v>
      </c>
      <c r="N189" s="1">
        <v>13</v>
      </c>
      <c r="O189" s="1">
        <v>36</v>
      </c>
      <c r="P189" s="9">
        <f t="shared" si="16"/>
        <v>468</v>
      </c>
      <c r="Q189" s="9">
        <v>0</v>
      </c>
      <c r="R189" s="9">
        <f t="shared" si="17"/>
        <v>468</v>
      </c>
      <c r="S189" s="9">
        <f t="shared" si="14"/>
        <v>5</v>
      </c>
      <c r="T189" s="17">
        <f t="shared" si="15"/>
        <v>463</v>
      </c>
      <c r="U189" s="2" t="s">
        <v>730</v>
      </c>
      <c r="V189" s="2" t="s">
        <v>745</v>
      </c>
      <c r="W189" s="2"/>
    </row>
    <row r="190" spans="1:23" x14ac:dyDescent="0.25">
      <c r="A190" s="1">
        <v>189</v>
      </c>
      <c r="B190" s="1">
        <v>517</v>
      </c>
      <c r="C190" s="1" t="e">
        <f>VLOOKUP(B190,[1]Interviewer!B$2:C$193,2,0)</f>
        <v>#N/A</v>
      </c>
      <c r="D190" s="2" t="s">
        <v>983</v>
      </c>
      <c r="E190" s="23" t="s">
        <v>984</v>
      </c>
      <c r="F190" s="4" t="s">
        <v>985</v>
      </c>
      <c r="G190" s="4" t="s">
        <v>926</v>
      </c>
      <c r="H190" s="4" t="s">
        <v>986</v>
      </c>
      <c r="I190" s="25" t="s">
        <v>425</v>
      </c>
      <c r="J190" s="1" t="s">
        <v>735</v>
      </c>
      <c r="K190" s="4">
        <v>9641346049</v>
      </c>
      <c r="L190" s="2" t="s">
        <v>420</v>
      </c>
      <c r="M190" s="1" t="s">
        <v>410</v>
      </c>
      <c r="N190" s="1">
        <v>79</v>
      </c>
      <c r="O190" s="1">
        <v>36</v>
      </c>
      <c r="P190" s="9">
        <f t="shared" si="16"/>
        <v>2844</v>
      </c>
      <c r="Q190" s="9">
        <v>0</v>
      </c>
      <c r="R190" s="9">
        <f t="shared" si="17"/>
        <v>2844</v>
      </c>
      <c r="S190" s="9">
        <v>0</v>
      </c>
      <c r="T190" s="17">
        <f t="shared" si="15"/>
        <v>2844</v>
      </c>
      <c r="U190" s="2" t="s">
        <v>736</v>
      </c>
      <c r="V190" s="2" t="s">
        <v>906</v>
      </c>
      <c r="W190" s="2"/>
    </row>
    <row r="191" spans="1:23" x14ac:dyDescent="0.25">
      <c r="A191" s="1">
        <v>190</v>
      </c>
      <c r="B191" s="1">
        <v>518</v>
      </c>
      <c r="C191" s="1" t="e">
        <f>VLOOKUP(B191,[1]Interviewer!B$2:C$193,2,0)</f>
        <v>#N/A</v>
      </c>
      <c r="D191" s="2" t="s">
        <v>436</v>
      </c>
      <c r="E191" s="23" t="s">
        <v>437</v>
      </c>
      <c r="F191" s="4" t="s">
        <v>438</v>
      </c>
      <c r="G191" s="4" t="s">
        <v>51</v>
      </c>
      <c r="H191" s="4" t="s">
        <v>439</v>
      </c>
      <c r="I191" s="25" t="s">
        <v>440</v>
      </c>
      <c r="J191" s="1" t="s">
        <v>27</v>
      </c>
      <c r="K191" s="4">
        <v>6296992017</v>
      </c>
      <c r="L191" s="2" t="s">
        <v>420</v>
      </c>
      <c r="M191" s="1" t="s">
        <v>410</v>
      </c>
      <c r="N191" s="1">
        <v>27</v>
      </c>
      <c r="O191" s="1">
        <v>36</v>
      </c>
      <c r="P191" s="9">
        <f t="shared" si="16"/>
        <v>972</v>
      </c>
      <c r="Q191" s="9">
        <v>800</v>
      </c>
      <c r="R191" s="9">
        <f t="shared" si="17"/>
        <v>172</v>
      </c>
      <c r="S191" s="9">
        <f t="shared" si="14"/>
        <v>2</v>
      </c>
      <c r="T191" s="17">
        <f t="shared" si="15"/>
        <v>170</v>
      </c>
      <c r="U191" s="2" t="s">
        <v>715</v>
      </c>
      <c r="V191" s="2"/>
      <c r="W191" s="2"/>
    </row>
    <row r="192" spans="1:23" x14ac:dyDescent="0.25">
      <c r="A192" s="1">
        <v>191</v>
      </c>
      <c r="B192" s="1">
        <v>519</v>
      </c>
      <c r="C192" s="1" t="e">
        <f>VLOOKUP(B192,[1]Interviewer!B$2:C$193,2,0)</f>
        <v>#N/A</v>
      </c>
      <c r="D192" s="2" t="s">
        <v>682</v>
      </c>
      <c r="E192" s="23" t="s">
        <v>683</v>
      </c>
      <c r="F192" s="4" t="s">
        <v>684</v>
      </c>
      <c r="G192" s="4" t="s">
        <v>51</v>
      </c>
      <c r="H192" s="4" t="s">
        <v>685</v>
      </c>
      <c r="I192" s="25" t="s">
        <v>686</v>
      </c>
      <c r="J192" s="1" t="s">
        <v>27</v>
      </c>
      <c r="K192" s="4">
        <v>8116570289</v>
      </c>
      <c r="L192" s="2" t="s">
        <v>420</v>
      </c>
      <c r="M192" s="1" t="s">
        <v>410</v>
      </c>
      <c r="N192" s="1">
        <v>79</v>
      </c>
      <c r="O192" s="1">
        <v>36</v>
      </c>
      <c r="P192" s="9">
        <f t="shared" si="16"/>
        <v>2844</v>
      </c>
      <c r="Q192" s="9">
        <v>0</v>
      </c>
      <c r="R192" s="9">
        <f t="shared" si="17"/>
        <v>2844</v>
      </c>
      <c r="S192" s="9">
        <f t="shared" si="14"/>
        <v>28</v>
      </c>
      <c r="T192" s="17">
        <f t="shared" si="15"/>
        <v>2816</v>
      </c>
      <c r="U192" s="2" t="s">
        <v>722</v>
      </c>
      <c r="V192" s="2"/>
      <c r="W192" s="2"/>
    </row>
    <row r="193" spans="1:23" x14ac:dyDescent="0.25">
      <c r="A193" s="1">
        <v>192</v>
      </c>
      <c r="B193" s="1">
        <v>520</v>
      </c>
      <c r="C193" s="1" t="e">
        <f>VLOOKUP(B193,[1]Interviewer!B$2:C$193,2,0)</f>
        <v>#N/A</v>
      </c>
      <c r="D193" s="2" t="s">
        <v>987</v>
      </c>
      <c r="E193" s="3" t="s">
        <v>988</v>
      </c>
      <c r="F193" s="4" t="s">
        <v>989</v>
      </c>
      <c r="G193" s="4" t="s">
        <v>178</v>
      </c>
      <c r="H193" s="4">
        <v>0</v>
      </c>
      <c r="I193" s="25" t="s">
        <v>990</v>
      </c>
      <c r="J193" s="1"/>
      <c r="K193" s="4">
        <v>9339005025</v>
      </c>
      <c r="L193" s="2" t="s">
        <v>409</v>
      </c>
      <c r="M193" s="1" t="s">
        <v>410</v>
      </c>
      <c r="N193" s="1">
        <v>29</v>
      </c>
      <c r="O193" s="1">
        <v>36</v>
      </c>
      <c r="P193" s="9">
        <f t="shared" si="16"/>
        <v>1044</v>
      </c>
      <c r="Q193" s="9">
        <v>500</v>
      </c>
      <c r="R193" s="9">
        <f t="shared" si="17"/>
        <v>544</v>
      </c>
      <c r="S193" s="9">
        <f t="shared" si="14"/>
        <v>5</v>
      </c>
      <c r="T193" s="17">
        <f t="shared" si="15"/>
        <v>539</v>
      </c>
      <c r="U193" s="2" t="s">
        <v>991</v>
      </c>
      <c r="V193" s="2" t="s">
        <v>745</v>
      </c>
      <c r="W193" s="2"/>
    </row>
    <row r="194" spans="1:23" x14ac:dyDescent="0.25">
      <c r="A194" s="15" t="s">
        <v>441</v>
      </c>
      <c r="B194" s="15"/>
      <c r="C194" s="18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9">
        <f>SUBTOTAL(9,N2:N193)</f>
        <v>20774</v>
      </c>
      <c r="O194" s="19"/>
      <c r="P194" s="19">
        <f t="shared" ref="P194:S194" si="18">SUBTOTAL(9,P2:P193)</f>
        <v>747864</v>
      </c>
      <c r="Q194" s="19">
        <f t="shared" si="18"/>
        <v>190986</v>
      </c>
      <c r="R194" s="19">
        <f t="shared" si="18"/>
        <v>556878</v>
      </c>
      <c r="S194" s="19">
        <f t="shared" si="18"/>
        <v>6008</v>
      </c>
      <c r="T194" s="19">
        <f>SUBTOTAL(9,T2:T193)</f>
        <v>550870</v>
      </c>
      <c r="U194" s="35"/>
      <c r="V194" s="16"/>
    </row>
    <row r="198" spans="1:23" x14ac:dyDescent="0.25">
      <c r="T198" s="56"/>
    </row>
    <row r="200" spans="1:23" x14ac:dyDescent="0.25">
      <c r="R200" s="56"/>
    </row>
    <row r="201" spans="1:23" x14ac:dyDescent="0.25">
      <c r="R201" s="56"/>
      <c r="T201" s="56"/>
    </row>
  </sheetData>
  <sortState xmlns:xlrd2="http://schemas.microsoft.com/office/spreadsheetml/2017/richdata2" ref="A2:U193">
    <sortCondition ref="B2:B193"/>
  </sortState>
  <conditionalFormatting sqref="D1:D1048576 H1:H1048576">
    <cfRule type="duplicateValues" dxfId="2" priority="2"/>
  </conditionalFormatting>
  <conditionalFormatting sqref="H1:H1048576">
    <cfRule type="duplicateValues" dxfId="1" priority="3"/>
  </conditionalFormatting>
  <hyperlinks>
    <hyperlink ref="F58" r:id="rId1" display="https://ifsc.bankifsccode.com/IDIB000S775" xr:uid="{55726529-C7F3-41AB-BCDB-93D385447393}"/>
  </hyperlinks>
  <pageMargins left="0.7" right="0.7" top="0.75" bottom="0.75" header="0.3" footer="0.3"/>
  <pageSetup paperSize="9" scale="27" fitToHeight="0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E81F-CBE3-4B46-BC3B-0C163F7E2ADC}">
  <dimension ref="A1:T24"/>
  <sheetViews>
    <sheetView zoomScaleNormal="100" workbookViewId="0">
      <pane xSplit="2" ySplit="1" topLeftCell="J8" activePane="bottomRight" state="frozen"/>
      <selection pane="topRight" activeCell="C1" sqref="C1"/>
      <selection pane="bottomLeft" activeCell="A2" sqref="A2"/>
      <selection pane="bottomRight" activeCell="K27" sqref="K27"/>
    </sheetView>
  </sheetViews>
  <sheetFormatPr defaultColWidth="9.1796875" defaultRowHeight="12.5" x14ac:dyDescent="0.25"/>
  <cols>
    <col min="1" max="1" width="9" style="14" bestFit="1" customWidth="1"/>
    <col min="2" max="2" width="19" style="14" bestFit="1" customWidth="1"/>
    <col min="3" max="3" width="17.26953125" style="14" bestFit="1" customWidth="1"/>
    <col min="4" max="4" width="13.54296875" style="14" bestFit="1" customWidth="1"/>
    <col min="5" max="5" width="22.1796875" style="14" bestFit="1" customWidth="1"/>
    <col min="6" max="6" width="14.26953125" style="14" bestFit="1" customWidth="1"/>
    <col min="7" max="7" width="13.1796875" style="14" bestFit="1" customWidth="1"/>
    <col min="8" max="8" width="14.7265625" style="16" bestFit="1" customWidth="1"/>
    <col min="9" max="9" width="16.81640625" style="14" bestFit="1" customWidth="1"/>
    <col min="10" max="10" width="19.453125" style="14" bestFit="1" customWidth="1"/>
    <col min="11" max="11" width="8" style="14" bestFit="1" customWidth="1"/>
    <col min="12" max="12" width="9.54296875" style="16" bestFit="1" customWidth="1"/>
    <col min="13" max="13" width="10.1796875" style="14" bestFit="1" customWidth="1"/>
    <col min="14" max="14" width="10.54296875" style="14" bestFit="1" customWidth="1"/>
    <col min="15" max="15" width="10.1796875" style="14" bestFit="1" customWidth="1"/>
    <col min="16" max="16" width="6.453125" style="14" bestFit="1" customWidth="1"/>
    <col min="17" max="17" width="12.26953125" style="14" bestFit="1" customWidth="1"/>
    <col min="18" max="18" width="31.81640625" style="14" bestFit="1" customWidth="1"/>
    <col min="19" max="19" width="27.1796875" style="14" bestFit="1" customWidth="1"/>
    <col min="20" max="20" width="4.81640625" style="14" bestFit="1" customWidth="1"/>
    <col min="21" max="16384" width="9.1796875" style="14"/>
  </cols>
  <sheetData>
    <row r="1" spans="1:20" x14ac:dyDescent="0.25">
      <c r="A1" s="5" t="s">
        <v>442</v>
      </c>
      <c r="B1" s="5" t="s">
        <v>11</v>
      </c>
      <c r="C1" s="101" t="s">
        <v>992</v>
      </c>
      <c r="D1" s="6" t="s">
        <v>993</v>
      </c>
      <c r="E1" s="6" t="s">
        <v>994</v>
      </c>
      <c r="F1" s="6" t="s">
        <v>995</v>
      </c>
      <c r="G1" s="6" t="s">
        <v>8</v>
      </c>
      <c r="H1" s="38" t="s">
        <v>9</v>
      </c>
      <c r="I1" s="5" t="s">
        <v>443</v>
      </c>
      <c r="J1" s="5" t="s">
        <v>444</v>
      </c>
      <c r="K1" s="8" t="s">
        <v>445</v>
      </c>
      <c r="L1" s="7" t="s">
        <v>14</v>
      </c>
      <c r="M1" s="8" t="s">
        <v>15</v>
      </c>
      <c r="N1" s="8" t="s">
        <v>16</v>
      </c>
      <c r="O1" s="8" t="s">
        <v>17</v>
      </c>
      <c r="P1" s="8" t="s">
        <v>446</v>
      </c>
      <c r="Q1" s="8" t="s">
        <v>19</v>
      </c>
      <c r="R1" s="5" t="s">
        <v>466</v>
      </c>
      <c r="S1" s="5" t="s">
        <v>713</v>
      </c>
      <c r="T1" s="5" t="s">
        <v>996</v>
      </c>
    </row>
    <row r="2" spans="1:20" s="57" customFormat="1" x14ac:dyDescent="0.25">
      <c r="A2" s="31">
        <v>601</v>
      </c>
      <c r="B2" s="31" t="s">
        <v>687</v>
      </c>
      <c r="C2" s="30" t="s">
        <v>688</v>
      </c>
      <c r="D2" s="31" t="s">
        <v>689</v>
      </c>
      <c r="E2" s="31" t="s">
        <v>690</v>
      </c>
      <c r="F2" s="31" t="s">
        <v>691</v>
      </c>
      <c r="G2" s="32" t="s">
        <v>997</v>
      </c>
      <c r="H2" s="28" t="s">
        <v>27</v>
      </c>
      <c r="I2" s="31">
        <v>9832911719</v>
      </c>
      <c r="J2" s="31" t="s">
        <v>29</v>
      </c>
      <c r="K2" s="33">
        <v>2716</v>
      </c>
      <c r="L2" s="28">
        <v>9</v>
      </c>
      <c r="M2" s="33">
        <f>K2*L2</f>
        <v>24444</v>
      </c>
      <c r="N2" s="33">
        <v>0</v>
      </c>
      <c r="O2" s="33">
        <f>M2-N2</f>
        <v>24444</v>
      </c>
      <c r="P2" s="33">
        <f>O2*1%</f>
        <v>244.44</v>
      </c>
      <c r="Q2" s="33">
        <f>O2-P2</f>
        <v>24199.56</v>
      </c>
      <c r="R2" s="29" t="s">
        <v>722</v>
      </c>
      <c r="S2" s="29"/>
      <c r="T2" s="29"/>
    </row>
    <row r="3" spans="1:20" s="57" customFormat="1" x14ac:dyDescent="0.25">
      <c r="A3" s="31">
        <v>600</v>
      </c>
      <c r="B3" s="31" t="s">
        <v>28</v>
      </c>
      <c r="C3" s="30" t="s">
        <v>998</v>
      </c>
      <c r="D3" s="31" t="s">
        <v>999</v>
      </c>
      <c r="E3" s="31" t="s">
        <v>1000</v>
      </c>
      <c r="F3" s="31" t="s">
        <v>1001</v>
      </c>
      <c r="G3" s="32" t="s">
        <v>1002</v>
      </c>
      <c r="H3" s="28" t="s">
        <v>735</v>
      </c>
      <c r="I3" s="31">
        <v>9832911719</v>
      </c>
      <c r="J3" s="31" t="s">
        <v>29</v>
      </c>
      <c r="K3" s="33">
        <v>1359</v>
      </c>
      <c r="L3" s="28">
        <v>9</v>
      </c>
      <c r="M3" s="33">
        <f t="shared" ref="M3:M23" si="0">K3*L3</f>
        <v>12231</v>
      </c>
      <c r="N3" s="33">
        <v>5000</v>
      </c>
      <c r="O3" s="33">
        <f t="shared" ref="O3:O23" si="1">M3-N3</f>
        <v>7231</v>
      </c>
      <c r="P3" s="33">
        <v>0</v>
      </c>
      <c r="Q3" s="33">
        <f t="shared" ref="Q3:Q23" si="2">O3-P3</f>
        <v>7231</v>
      </c>
      <c r="R3" s="29" t="s">
        <v>1003</v>
      </c>
      <c r="S3" s="29" t="s">
        <v>1004</v>
      </c>
      <c r="T3" s="29"/>
    </row>
    <row r="4" spans="1:20" s="57" customFormat="1" x14ac:dyDescent="0.25">
      <c r="A4" s="31">
        <v>604</v>
      </c>
      <c r="B4" s="31" t="s">
        <v>111</v>
      </c>
      <c r="C4" s="30" t="s">
        <v>693</v>
      </c>
      <c r="D4" s="31" t="s">
        <v>108</v>
      </c>
      <c r="E4" s="31" t="s">
        <v>690</v>
      </c>
      <c r="F4" s="31" t="s">
        <v>694</v>
      </c>
      <c r="G4" s="72" t="s">
        <v>1005</v>
      </c>
      <c r="H4" s="28" t="s">
        <v>27</v>
      </c>
      <c r="I4" s="31">
        <v>6294352125</v>
      </c>
      <c r="J4" s="31" t="s">
        <v>29</v>
      </c>
      <c r="K4" s="33">
        <v>587</v>
      </c>
      <c r="L4" s="28">
        <v>9</v>
      </c>
      <c r="M4" s="33">
        <f t="shared" si="0"/>
        <v>5283</v>
      </c>
      <c r="N4" s="33">
        <v>3100</v>
      </c>
      <c r="O4" s="33">
        <f t="shared" si="1"/>
        <v>2183</v>
      </c>
      <c r="P4" s="33">
        <f t="shared" ref="P4:P23" si="3">O4*1%</f>
        <v>21.830000000000002</v>
      </c>
      <c r="Q4" s="33">
        <f t="shared" si="2"/>
        <v>2161.17</v>
      </c>
      <c r="R4" s="29" t="s">
        <v>722</v>
      </c>
      <c r="S4" s="29" t="s">
        <v>1006</v>
      </c>
      <c r="T4" s="29"/>
    </row>
    <row r="5" spans="1:20" s="57" customFormat="1" x14ac:dyDescent="0.25">
      <c r="A5" s="31">
        <v>603</v>
      </c>
      <c r="B5" s="31" t="s">
        <v>127</v>
      </c>
      <c r="C5" s="30" t="s">
        <v>695</v>
      </c>
      <c r="D5" s="31" t="s">
        <v>696</v>
      </c>
      <c r="E5" s="31" t="s">
        <v>697</v>
      </c>
      <c r="F5" s="31" t="s">
        <v>698</v>
      </c>
      <c r="G5" s="32" t="s">
        <v>1007</v>
      </c>
      <c r="H5" s="28" t="s">
        <v>27</v>
      </c>
      <c r="I5" s="31">
        <v>7548082516</v>
      </c>
      <c r="J5" s="31" t="s">
        <v>29</v>
      </c>
      <c r="K5" s="33">
        <v>572</v>
      </c>
      <c r="L5" s="28">
        <v>9</v>
      </c>
      <c r="M5" s="33">
        <f t="shared" si="0"/>
        <v>5148</v>
      </c>
      <c r="N5" s="33">
        <v>2060</v>
      </c>
      <c r="O5" s="33">
        <f t="shared" si="1"/>
        <v>3088</v>
      </c>
      <c r="P5" s="33">
        <f t="shared" si="3"/>
        <v>30.88</v>
      </c>
      <c r="Q5" s="33">
        <f t="shared" si="2"/>
        <v>3057.12</v>
      </c>
      <c r="R5" s="29" t="s">
        <v>722</v>
      </c>
      <c r="S5" s="29"/>
      <c r="T5" s="29"/>
    </row>
    <row r="6" spans="1:20" s="63" customFormat="1" x14ac:dyDescent="0.25">
      <c r="A6" s="60">
        <v>651</v>
      </c>
      <c r="B6" s="60" t="s">
        <v>409</v>
      </c>
      <c r="C6" s="61" t="s">
        <v>1008</v>
      </c>
      <c r="D6" s="60" t="s">
        <v>1009</v>
      </c>
      <c r="E6" s="60" t="s">
        <v>1010</v>
      </c>
      <c r="F6" s="60" t="s">
        <v>1011</v>
      </c>
      <c r="G6" s="61" t="s">
        <v>1012</v>
      </c>
      <c r="H6" s="58" t="s">
        <v>27</v>
      </c>
      <c r="I6" s="60">
        <v>6294019437</v>
      </c>
      <c r="J6" s="60" t="s">
        <v>410</v>
      </c>
      <c r="K6" s="62">
        <v>600</v>
      </c>
      <c r="L6" s="58">
        <v>9</v>
      </c>
      <c r="M6" s="62">
        <f t="shared" si="0"/>
        <v>5400</v>
      </c>
      <c r="N6" s="62">
        <f>14000-5928-2672</f>
        <v>5400</v>
      </c>
      <c r="O6" s="62">
        <f t="shared" si="1"/>
        <v>0</v>
      </c>
      <c r="P6" s="62">
        <f t="shared" si="3"/>
        <v>0</v>
      </c>
      <c r="Q6" s="62">
        <f t="shared" si="2"/>
        <v>0</v>
      </c>
      <c r="R6" s="59" t="s">
        <v>692</v>
      </c>
      <c r="S6" s="59" t="s">
        <v>745</v>
      </c>
      <c r="T6" s="59"/>
    </row>
    <row r="7" spans="1:20" s="63" customFormat="1" x14ac:dyDescent="0.25">
      <c r="A7" s="60">
        <v>652</v>
      </c>
      <c r="B7" s="60" t="s">
        <v>677</v>
      </c>
      <c r="C7" s="60">
        <v>32143481637</v>
      </c>
      <c r="D7" s="60" t="s">
        <v>674</v>
      </c>
      <c r="E7" s="60" t="s">
        <v>1010</v>
      </c>
      <c r="F7" s="60" t="s">
        <v>1013</v>
      </c>
      <c r="G7" s="60"/>
      <c r="H7" s="58"/>
      <c r="I7" s="60">
        <v>9775431246</v>
      </c>
      <c r="J7" s="60" t="s">
        <v>410</v>
      </c>
      <c r="K7" s="62">
        <v>376</v>
      </c>
      <c r="L7" s="58">
        <v>9</v>
      </c>
      <c r="M7" s="62">
        <f t="shared" si="0"/>
        <v>3384</v>
      </c>
      <c r="N7" s="62">
        <v>3384</v>
      </c>
      <c r="O7" s="62">
        <f t="shared" si="1"/>
        <v>0</v>
      </c>
      <c r="P7" s="62">
        <f t="shared" si="3"/>
        <v>0</v>
      </c>
      <c r="Q7" s="62">
        <f t="shared" si="2"/>
        <v>0</v>
      </c>
      <c r="R7" s="59" t="s">
        <v>1014</v>
      </c>
      <c r="S7" s="59" t="s">
        <v>745</v>
      </c>
      <c r="T7" s="59"/>
    </row>
    <row r="8" spans="1:20" s="63" customFormat="1" x14ac:dyDescent="0.25">
      <c r="A8" s="60">
        <v>653</v>
      </c>
      <c r="B8" s="60" t="s">
        <v>420</v>
      </c>
      <c r="C8" s="61" t="s">
        <v>1015</v>
      </c>
      <c r="D8" s="60" t="s">
        <v>1016</v>
      </c>
      <c r="E8" s="60" t="s">
        <v>1017</v>
      </c>
      <c r="F8" s="60" t="s">
        <v>1018</v>
      </c>
      <c r="G8" s="61" t="s">
        <v>1019</v>
      </c>
      <c r="H8" s="58" t="s">
        <v>27</v>
      </c>
      <c r="I8" s="60" t="s">
        <v>1020</v>
      </c>
      <c r="J8" s="60" t="s">
        <v>410</v>
      </c>
      <c r="K8" s="62">
        <v>968</v>
      </c>
      <c r="L8" s="58">
        <v>9</v>
      </c>
      <c r="M8" s="62">
        <f t="shared" si="0"/>
        <v>8712</v>
      </c>
      <c r="N8" s="62">
        <v>8712</v>
      </c>
      <c r="O8" s="62">
        <f t="shared" si="1"/>
        <v>0</v>
      </c>
      <c r="P8" s="62">
        <f t="shared" si="3"/>
        <v>0</v>
      </c>
      <c r="Q8" s="62">
        <f t="shared" si="2"/>
        <v>0</v>
      </c>
      <c r="R8" s="59" t="s">
        <v>692</v>
      </c>
      <c r="S8" s="59" t="s">
        <v>745</v>
      </c>
      <c r="T8" s="59"/>
    </row>
    <row r="9" spans="1:20" s="57" customFormat="1" x14ac:dyDescent="0.25">
      <c r="A9" s="73">
        <v>642</v>
      </c>
      <c r="B9" s="31" t="s">
        <v>345</v>
      </c>
      <c r="C9" s="102" t="s">
        <v>447</v>
      </c>
      <c r="D9" s="74" t="s">
        <v>353</v>
      </c>
      <c r="E9" s="74" t="s">
        <v>448</v>
      </c>
      <c r="F9" s="74" t="s">
        <v>449</v>
      </c>
      <c r="G9" s="75" t="s">
        <v>450</v>
      </c>
      <c r="H9" s="76" t="s">
        <v>27</v>
      </c>
      <c r="I9" s="74">
        <v>8101783045</v>
      </c>
      <c r="J9" s="73" t="s">
        <v>328</v>
      </c>
      <c r="K9" s="33">
        <v>1367</v>
      </c>
      <c r="L9" s="28">
        <v>9</v>
      </c>
      <c r="M9" s="33">
        <f t="shared" si="0"/>
        <v>12303</v>
      </c>
      <c r="N9" s="77">
        <v>4300</v>
      </c>
      <c r="O9" s="77">
        <f t="shared" si="1"/>
        <v>8003</v>
      </c>
      <c r="P9" s="77">
        <f t="shared" si="3"/>
        <v>80.03</v>
      </c>
      <c r="Q9" s="77">
        <f t="shared" si="2"/>
        <v>7922.97</v>
      </c>
      <c r="R9" s="29" t="s">
        <v>715</v>
      </c>
      <c r="S9" s="29"/>
      <c r="T9" s="29"/>
    </row>
    <row r="10" spans="1:20" s="63" customFormat="1" x14ac:dyDescent="0.25">
      <c r="A10" s="85">
        <v>644</v>
      </c>
      <c r="B10" s="60" t="s">
        <v>361</v>
      </c>
      <c r="C10" s="98">
        <v>6745368496</v>
      </c>
      <c r="D10" s="85" t="s">
        <v>1021</v>
      </c>
      <c r="E10" s="85" t="s">
        <v>24</v>
      </c>
      <c r="F10" s="85" t="s">
        <v>1022</v>
      </c>
      <c r="G10" s="87" t="s">
        <v>1023</v>
      </c>
      <c r="H10" s="88" t="s">
        <v>27</v>
      </c>
      <c r="I10" s="85">
        <v>9332646654</v>
      </c>
      <c r="J10" s="85" t="s">
        <v>328</v>
      </c>
      <c r="K10" s="62">
        <v>1254</v>
      </c>
      <c r="L10" s="58">
        <v>9</v>
      </c>
      <c r="M10" s="62">
        <f t="shared" si="0"/>
        <v>11286</v>
      </c>
      <c r="N10" s="89">
        <f>M10</f>
        <v>11286</v>
      </c>
      <c r="O10" s="89">
        <f t="shared" si="1"/>
        <v>0</v>
      </c>
      <c r="P10" s="89">
        <f t="shared" si="3"/>
        <v>0</v>
      </c>
      <c r="Q10" s="89">
        <f t="shared" si="2"/>
        <v>0</v>
      </c>
      <c r="R10" s="59" t="s">
        <v>900</v>
      </c>
      <c r="S10" s="59"/>
      <c r="T10" s="59"/>
    </row>
    <row r="11" spans="1:20" s="57" customFormat="1" x14ac:dyDescent="0.25">
      <c r="A11" s="74">
        <v>649</v>
      </c>
      <c r="B11" s="31" t="s">
        <v>631</v>
      </c>
      <c r="C11" s="102" t="s">
        <v>699</v>
      </c>
      <c r="D11" s="74" t="s">
        <v>664</v>
      </c>
      <c r="E11" s="74" t="s">
        <v>700</v>
      </c>
      <c r="F11" s="74" t="s">
        <v>701</v>
      </c>
      <c r="G11" s="75" t="s">
        <v>1024</v>
      </c>
      <c r="H11" s="76" t="s">
        <v>27</v>
      </c>
      <c r="I11" s="74">
        <v>7029727206</v>
      </c>
      <c r="J11" s="73" t="s">
        <v>328</v>
      </c>
      <c r="K11" s="33">
        <v>328</v>
      </c>
      <c r="L11" s="28">
        <v>9</v>
      </c>
      <c r="M11" s="33">
        <f t="shared" si="0"/>
        <v>2952</v>
      </c>
      <c r="N11" s="77">
        <v>500</v>
      </c>
      <c r="O11" s="77">
        <f t="shared" si="1"/>
        <v>2452</v>
      </c>
      <c r="P11" s="77">
        <f t="shared" si="3"/>
        <v>24.52</v>
      </c>
      <c r="Q11" s="77">
        <f t="shared" si="2"/>
        <v>2427.48</v>
      </c>
      <c r="R11" s="29" t="s">
        <v>722</v>
      </c>
      <c r="S11" s="29"/>
      <c r="T11" s="29"/>
    </row>
    <row r="12" spans="1:20" s="57" customFormat="1" x14ac:dyDescent="0.25">
      <c r="A12" s="73">
        <v>641</v>
      </c>
      <c r="B12" s="31" t="s">
        <v>327</v>
      </c>
      <c r="C12" s="84">
        <v>11251225303</v>
      </c>
      <c r="D12" s="73" t="s">
        <v>590</v>
      </c>
      <c r="E12" s="73" t="s">
        <v>448</v>
      </c>
      <c r="F12" s="73" t="s">
        <v>1025</v>
      </c>
      <c r="G12" s="82" t="s">
        <v>1026</v>
      </c>
      <c r="H12" s="83"/>
      <c r="I12" s="73">
        <v>6295141094</v>
      </c>
      <c r="J12" s="73" t="s">
        <v>328</v>
      </c>
      <c r="K12" s="33">
        <v>1029</v>
      </c>
      <c r="L12" s="28">
        <v>9</v>
      </c>
      <c r="M12" s="33">
        <f t="shared" si="0"/>
        <v>9261</v>
      </c>
      <c r="N12" s="77">
        <v>5300</v>
      </c>
      <c r="O12" s="77">
        <f t="shared" si="1"/>
        <v>3961</v>
      </c>
      <c r="P12" s="77">
        <v>0</v>
      </c>
      <c r="Q12" s="77">
        <f t="shared" si="2"/>
        <v>3961</v>
      </c>
      <c r="R12" s="29" t="s">
        <v>900</v>
      </c>
      <c r="S12" s="29" t="s">
        <v>1027</v>
      </c>
      <c r="T12" s="29"/>
    </row>
    <row r="13" spans="1:20" s="63" customFormat="1" x14ac:dyDescent="0.25">
      <c r="A13" s="85">
        <v>645</v>
      </c>
      <c r="B13" s="60" t="s">
        <v>372</v>
      </c>
      <c r="C13" s="86" t="s">
        <v>1028</v>
      </c>
      <c r="D13" s="85" t="s">
        <v>1029</v>
      </c>
      <c r="E13" s="85" t="s">
        <v>448</v>
      </c>
      <c r="F13" s="85" t="s">
        <v>1030</v>
      </c>
      <c r="G13" s="87" t="s">
        <v>1031</v>
      </c>
      <c r="H13" s="88" t="s">
        <v>27</v>
      </c>
      <c r="I13" s="85">
        <v>9064468890</v>
      </c>
      <c r="J13" s="85" t="s">
        <v>328</v>
      </c>
      <c r="K13" s="62">
        <v>475</v>
      </c>
      <c r="L13" s="58">
        <v>9</v>
      </c>
      <c r="M13" s="62">
        <f t="shared" si="0"/>
        <v>4275</v>
      </c>
      <c r="N13" s="89">
        <f>M13</f>
        <v>4275</v>
      </c>
      <c r="O13" s="89">
        <f t="shared" si="1"/>
        <v>0</v>
      </c>
      <c r="P13" s="89">
        <f t="shared" si="3"/>
        <v>0</v>
      </c>
      <c r="Q13" s="89">
        <f t="shared" si="2"/>
        <v>0</v>
      </c>
      <c r="R13" s="59" t="s">
        <v>692</v>
      </c>
      <c r="S13" s="59" t="s">
        <v>745</v>
      </c>
      <c r="T13" s="59"/>
    </row>
    <row r="14" spans="1:20" s="57" customFormat="1" x14ac:dyDescent="0.25">
      <c r="A14" s="78">
        <v>624</v>
      </c>
      <c r="B14" s="31" t="s">
        <v>196</v>
      </c>
      <c r="C14" s="72" t="s">
        <v>451</v>
      </c>
      <c r="D14" s="79" t="s">
        <v>452</v>
      </c>
      <c r="E14" s="79" t="s">
        <v>453</v>
      </c>
      <c r="F14" s="79" t="s">
        <v>454</v>
      </c>
      <c r="G14" s="72" t="s">
        <v>455</v>
      </c>
      <c r="H14" s="80" t="s">
        <v>27</v>
      </c>
      <c r="I14" s="78">
        <v>8582816075</v>
      </c>
      <c r="J14" s="78" t="s">
        <v>164</v>
      </c>
      <c r="K14" s="33">
        <v>1303</v>
      </c>
      <c r="L14" s="28">
        <v>9</v>
      </c>
      <c r="M14" s="33">
        <f t="shared" si="0"/>
        <v>11727</v>
      </c>
      <c r="N14" s="77">
        <v>10500</v>
      </c>
      <c r="O14" s="77">
        <f t="shared" si="1"/>
        <v>1227</v>
      </c>
      <c r="P14" s="77">
        <f t="shared" si="3"/>
        <v>12.27</v>
      </c>
      <c r="Q14" s="77">
        <f t="shared" si="2"/>
        <v>1214.73</v>
      </c>
      <c r="R14" s="29" t="s">
        <v>715</v>
      </c>
      <c r="S14" s="29"/>
      <c r="T14" s="29"/>
    </row>
    <row r="15" spans="1:20" s="63" customFormat="1" x14ac:dyDescent="0.25">
      <c r="A15" s="90">
        <v>623</v>
      </c>
      <c r="B15" s="60" t="s">
        <v>1032</v>
      </c>
      <c r="C15" s="91" t="s">
        <v>1033</v>
      </c>
      <c r="D15" s="92" t="s">
        <v>1034</v>
      </c>
      <c r="E15" s="92" t="s">
        <v>448</v>
      </c>
      <c r="F15" s="92" t="s">
        <v>1035</v>
      </c>
      <c r="G15" s="91" t="s">
        <v>1036</v>
      </c>
      <c r="H15" s="93" t="s">
        <v>27</v>
      </c>
      <c r="I15" s="90">
        <v>8697058508</v>
      </c>
      <c r="J15" s="90" t="s">
        <v>164</v>
      </c>
      <c r="K15" s="62">
        <v>0</v>
      </c>
      <c r="L15" s="58">
        <v>9</v>
      </c>
      <c r="M15" s="62">
        <f t="shared" si="0"/>
        <v>0</v>
      </c>
      <c r="N15" s="89">
        <v>0</v>
      </c>
      <c r="O15" s="89">
        <f t="shared" si="1"/>
        <v>0</v>
      </c>
      <c r="P15" s="89">
        <f t="shared" si="3"/>
        <v>0</v>
      </c>
      <c r="Q15" s="89">
        <f t="shared" si="2"/>
        <v>0</v>
      </c>
      <c r="R15" s="59" t="s">
        <v>692</v>
      </c>
      <c r="S15" s="59" t="s">
        <v>745</v>
      </c>
      <c r="T15" s="59"/>
    </row>
    <row r="16" spans="1:20" s="57" customFormat="1" x14ac:dyDescent="0.25">
      <c r="A16" s="78">
        <v>622</v>
      </c>
      <c r="B16" s="31" t="s">
        <v>163</v>
      </c>
      <c r="C16" s="72" t="s">
        <v>456</v>
      </c>
      <c r="D16" s="79" t="s">
        <v>457</v>
      </c>
      <c r="E16" s="79" t="s">
        <v>458</v>
      </c>
      <c r="F16" s="79" t="s">
        <v>459</v>
      </c>
      <c r="G16" s="72" t="s">
        <v>460</v>
      </c>
      <c r="H16" s="80" t="s">
        <v>27</v>
      </c>
      <c r="I16" s="79">
        <v>9903128477</v>
      </c>
      <c r="J16" s="78" t="s">
        <v>164</v>
      </c>
      <c r="K16" s="33">
        <v>1183</v>
      </c>
      <c r="L16" s="28">
        <v>9</v>
      </c>
      <c r="M16" s="33">
        <f t="shared" si="0"/>
        <v>10647</v>
      </c>
      <c r="N16" s="77">
        <v>10000</v>
      </c>
      <c r="O16" s="77">
        <f t="shared" si="1"/>
        <v>647</v>
      </c>
      <c r="P16" s="77">
        <f t="shared" si="3"/>
        <v>6.47</v>
      </c>
      <c r="Q16" s="77">
        <f t="shared" si="2"/>
        <v>640.53</v>
      </c>
      <c r="R16" s="29" t="s">
        <v>715</v>
      </c>
      <c r="S16" s="29"/>
      <c r="T16" s="29"/>
    </row>
    <row r="17" spans="1:20" s="57" customFormat="1" x14ac:dyDescent="0.25">
      <c r="A17" s="78">
        <v>621</v>
      </c>
      <c r="B17" s="31" t="s">
        <v>202</v>
      </c>
      <c r="C17" s="72" t="s">
        <v>461</v>
      </c>
      <c r="D17" s="79" t="s">
        <v>462</v>
      </c>
      <c r="E17" s="79" t="s">
        <v>448</v>
      </c>
      <c r="F17" s="79" t="s">
        <v>463</v>
      </c>
      <c r="G17" s="72" t="s">
        <v>464</v>
      </c>
      <c r="H17" s="80" t="s">
        <v>27</v>
      </c>
      <c r="I17" s="79">
        <v>864185923</v>
      </c>
      <c r="J17" s="78" t="s">
        <v>164</v>
      </c>
      <c r="K17" s="33">
        <v>1415</v>
      </c>
      <c r="L17" s="28">
        <v>9</v>
      </c>
      <c r="M17" s="33">
        <f t="shared" si="0"/>
        <v>12735</v>
      </c>
      <c r="N17" s="81">
        <v>0</v>
      </c>
      <c r="O17" s="81">
        <f t="shared" si="1"/>
        <v>12735</v>
      </c>
      <c r="P17" s="81">
        <f t="shared" si="3"/>
        <v>127.35000000000001</v>
      </c>
      <c r="Q17" s="81">
        <f t="shared" si="2"/>
        <v>12607.65</v>
      </c>
      <c r="R17" s="29" t="s">
        <v>715</v>
      </c>
      <c r="S17" s="29"/>
      <c r="T17" s="29"/>
    </row>
    <row r="18" spans="1:20" s="57" customFormat="1" x14ac:dyDescent="0.25">
      <c r="A18" s="78">
        <v>625</v>
      </c>
      <c r="B18" s="31" t="s">
        <v>702</v>
      </c>
      <c r="C18" s="72" t="s">
        <v>693</v>
      </c>
      <c r="D18" s="79" t="s">
        <v>108</v>
      </c>
      <c r="E18" s="79" t="s">
        <v>448</v>
      </c>
      <c r="F18" s="79" t="s">
        <v>694</v>
      </c>
      <c r="G18" s="72" t="s">
        <v>1005</v>
      </c>
      <c r="H18" s="80" t="s">
        <v>27</v>
      </c>
      <c r="I18" s="79">
        <v>6294352125</v>
      </c>
      <c r="J18" s="78" t="s">
        <v>164</v>
      </c>
      <c r="K18" s="33">
        <v>390</v>
      </c>
      <c r="L18" s="28">
        <v>9</v>
      </c>
      <c r="M18" s="33">
        <f t="shared" si="0"/>
        <v>3510</v>
      </c>
      <c r="N18" s="77">
        <v>500</v>
      </c>
      <c r="O18" s="77">
        <f t="shared" si="1"/>
        <v>3010</v>
      </c>
      <c r="P18" s="77">
        <f t="shared" si="3"/>
        <v>30.1</v>
      </c>
      <c r="Q18" s="77">
        <f t="shared" si="2"/>
        <v>2979.9</v>
      </c>
      <c r="R18" s="29" t="s">
        <v>722</v>
      </c>
      <c r="S18" s="29" t="s">
        <v>1006</v>
      </c>
      <c r="T18" s="29"/>
    </row>
    <row r="19" spans="1:20" s="63" customFormat="1" x14ac:dyDescent="0.25">
      <c r="A19" s="94">
        <v>620</v>
      </c>
      <c r="B19" s="60" t="s">
        <v>777</v>
      </c>
      <c r="C19" s="90"/>
      <c r="D19" s="90"/>
      <c r="E19" s="90"/>
      <c r="F19" s="90"/>
      <c r="G19" s="90"/>
      <c r="H19" s="95"/>
      <c r="I19" s="96">
        <v>9233255207</v>
      </c>
      <c r="J19" s="96" t="s">
        <v>164</v>
      </c>
      <c r="K19" s="66">
        <v>69</v>
      </c>
      <c r="L19" s="65">
        <v>9</v>
      </c>
      <c r="M19" s="66">
        <f t="shared" si="0"/>
        <v>621</v>
      </c>
      <c r="N19" s="97">
        <v>621</v>
      </c>
      <c r="O19" s="97">
        <f t="shared" si="1"/>
        <v>0</v>
      </c>
      <c r="P19" s="97">
        <f t="shared" si="3"/>
        <v>0</v>
      </c>
      <c r="Q19" s="97">
        <f t="shared" si="2"/>
        <v>0</v>
      </c>
      <c r="R19" s="59" t="s">
        <v>1014</v>
      </c>
      <c r="S19" s="59" t="s">
        <v>745</v>
      </c>
      <c r="T19" s="59"/>
    </row>
    <row r="20" spans="1:20" s="57" customFormat="1" x14ac:dyDescent="0.25">
      <c r="A20" s="73">
        <v>632</v>
      </c>
      <c r="B20" s="31" t="s">
        <v>587</v>
      </c>
      <c r="C20" s="103" t="s">
        <v>703</v>
      </c>
      <c r="D20" s="73" t="s">
        <v>704</v>
      </c>
      <c r="E20" s="31" t="s">
        <v>705</v>
      </c>
      <c r="F20" s="73" t="s">
        <v>706</v>
      </c>
      <c r="G20" s="82" t="s">
        <v>1037</v>
      </c>
      <c r="H20" s="83" t="s">
        <v>27</v>
      </c>
      <c r="I20" s="73">
        <v>9735252007</v>
      </c>
      <c r="J20" s="29" t="s">
        <v>1038</v>
      </c>
      <c r="K20" s="33">
        <v>1363</v>
      </c>
      <c r="L20" s="28">
        <v>9</v>
      </c>
      <c r="M20" s="33">
        <f t="shared" si="0"/>
        <v>12267</v>
      </c>
      <c r="N20" s="77">
        <f>20500-14700</f>
        <v>5800</v>
      </c>
      <c r="O20" s="77">
        <f t="shared" si="1"/>
        <v>6467</v>
      </c>
      <c r="P20" s="77">
        <f t="shared" si="3"/>
        <v>64.67</v>
      </c>
      <c r="Q20" s="77">
        <f t="shared" si="2"/>
        <v>6402.33</v>
      </c>
      <c r="R20" s="29" t="s">
        <v>722</v>
      </c>
      <c r="S20" s="29"/>
      <c r="T20" s="29"/>
    </row>
    <row r="21" spans="1:20" s="57" customFormat="1" x14ac:dyDescent="0.25">
      <c r="A21" s="73">
        <v>631</v>
      </c>
      <c r="B21" s="31" t="s">
        <v>246</v>
      </c>
      <c r="C21" s="103" t="s">
        <v>707</v>
      </c>
      <c r="D21" s="73" t="s">
        <v>135</v>
      </c>
      <c r="E21" s="73" t="s">
        <v>708</v>
      </c>
      <c r="F21" s="73" t="s">
        <v>709</v>
      </c>
      <c r="G21" s="82" t="s">
        <v>1039</v>
      </c>
      <c r="H21" s="83" t="s">
        <v>27</v>
      </c>
      <c r="I21" s="73">
        <v>9733951886</v>
      </c>
      <c r="J21" s="29" t="s">
        <v>1038</v>
      </c>
      <c r="K21" s="33">
        <v>2886</v>
      </c>
      <c r="L21" s="28">
        <v>9</v>
      </c>
      <c r="M21" s="33">
        <f t="shared" si="0"/>
        <v>25974</v>
      </c>
      <c r="N21" s="77">
        <f>27000-22150</f>
        <v>4850</v>
      </c>
      <c r="O21" s="77">
        <f t="shared" si="1"/>
        <v>21124</v>
      </c>
      <c r="P21" s="77">
        <f t="shared" si="3"/>
        <v>211.24</v>
      </c>
      <c r="Q21" s="77">
        <f t="shared" si="2"/>
        <v>20912.759999999998</v>
      </c>
      <c r="R21" s="29" t="s">
        <v>722</v>
      </c>
      <c r="S21" s="29"/>
      <c r="T21" s="29"/>
    </row>
    <row r="22" spans="1:20" s="63" customFormat="1" x14ac:dyDescent="0.25">
      <c r="A22" s="60">
        <v>638</v>
      </c>
      <c r="B22" s="60" t="s">
        <v>841</v>
      </c>
      <c r="C22" s="64">
        <v>20109389641</v>
      </c>
      <c r="D22" s="60" t="s">
        <v>1040</v>
      </c>
      <c r="E22" s="85" t="s">
        <v>708</v>
      </c>
      <c r="F22" s="60" t="s">
        <v>1041</v>
      </c>
      <c r="G22" s="61" t="s">
        <v>1042</v>
      </c>
      <c r="H22" s="58" t="s">
        <v>27</v>
      </c>
      <c r="I22" s="60">
        <v>8240269485</v>
      </c>
      <c r="J22" s="59" t="s">
        <v>1038</v>
      </c>
      <c r="K22" s="62">
        <v>247</v>
      </c>
      <c r="L22" s="58">
        <v>9</v>
      </c>
      <c r="M22" s="62">
        <f t="shared" si="0"/>
        <v>2223</v>
      </c>
      <c r="N22" s="62">
        <f>M22</f>
        <v>2223</v>
      </c>
      <c r="O22" s="62">
        <f t="shared" si="1"/>
        <v>0</v>
      </c>
      <c r="P22" s="62">
        <f t="shared" si="3"/>
        <v>0</v>
      </c>
      <c r="Q22" s="62">
        <f t="shared" si="2"/>
        <v>0</v>
      </c>
      <c r="R22" s="59" t="s">
        <v>900</v>
      </c>
      <c r="S22" s="59" t="s">
        <v>745</v>
      </c>
      <c r="T22" s="59"/>
    </row>
    <row r="23" spans="1:20" s="57" customFormat="1" x14ac:dyDescent="0.25">
      <c r="A23" s="31">
        <v>633</v>
      </c>
      <c r="B23" s="31" t="s">
        <v>233</v>
      </c>
      <c r="C23" s="30" t="s">
        <v>710</v>
      </c>
      <c r="D23" s="31" t="s">
        <v>711</v>
      </c>
      <c r="E23" s="31" t="s">
        <v>705</v>
      </c>
      <c r="F23" s="31" t="s">
        <v>712</v>
      </c>
      <c r="G23" s="32" t="s">
        <v>1043</v>
      </c>
      <c r="H23" s="28" t="s">
        <v>27</v>
      </c>
      <c r="I23" s="31">
        <v>7076622184</v>
      </c>
      <c r="J23" s="29" t="s">
        <v>1038</v>
      </c>
      <c r="K23" s="33">
        <v>123</v>
      </c>
      <c r="L23" s="28">
        <v>9</v>
      </c>
      <c r="M23" s="33">
        <f t="shared" si="0"/>
        <v>1107</v>
      </c>
      <c r="N23" s="33">
        <v>0</v>
      </c>
      <c r="O23" s="33">
        <f t="shared" si="1"/>
        <v>1107</v>
      </c>
      <c r="P23" s="33">
        <f t="shared" si="3"/>
        <v>11.07</v>
      </c>
      <c r="Q23" s="33">
        <f t="shared" si="2"/>
        <v>1095.93</v>
      </c>
      <c r="R23" s="29" t="s">
        <v>722</v>
      </c>
      <c r="S23" s="29"/>
      <c r="T23" s="29"/>
    </row>
    <row r="24" spans="1:20" x14ac:dyDescent="0.25">
      <c r="A24" s="104" t="s">
        <v>441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7">
        <f>SUBTOTAL(9,K2:K23)</f>
        <v>20610</v>
      </c>
      <c r="L24" s="18">
        <f t="shared" ref="L24:P24" si="4">SUBTOTAL(9,L2:L23)</f>
        <v>198</v>
      </c>
      <c r="M24" s="17">
        <f t="shared" si="4"/>
        <v>185490</v>
      </c>
      <c r="N24" s="17">
        <f t="shared" si="4"/>
        <v>87811</v>
      </c>
      <c r="O24" s="17"/>
      <c r="P24" s="17">
        <f t="shared" si="4"/>
        <v>864.87</v>
      </c>
      <c r="Q24" s="17">
        <f>SUM(Q2:Q23)</f>
        <v>96814.13</v>
      </c>
      <c r="R24" s="2"/>
      <c r="S24" s="2"/>
      <c r="T24" s="2"/>
    </row>
  </sheetData>
  <mergeCells count="1">
    <mergeCell ref="A24:J24"/>
  </mergeCells>
  <conditionalFormatting sqref="F1:F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9E306-CAC6-43FD-89AB-65CED85A5AEE}">
  <dimension ref="A1:J7"/>
  <sheetViews>
    <sheetView workbookViewId="0">
      <selection activeCell="I12" sqref="I12"/>
    </sheetView>
  </sheetViews>
  <sheetFormatPr defaultColWidth="9.1796875" defaultRowHeight="12.5" x14ac:dyDescent="0.25"/>
  <cols>
    <col min="1" max="1" width="8.81640625" style="16" bestFit="1" customWidth="1"/>
    <col min="2" max="2" width="22" style="14" bestFit="1" customWidth="1"/>
    <col min="3" max="3" width="9.26953125" style="14" bestFit="1" customWidth="1"/>
    <col min="4" max="4" width="17.54296875" style="14" bestFit="1" customWidth="1"/>
    <col min="5" max="5" width="18" style="14" bestFit="1" customWidth="1"/>
    <col min="6" max="6" width="17.26953125" style="14" bestFit="1" customWidth="1"/>
    <col min="7" max="7" width="18.54296875" style="14" bestFit="1" customWidth="1"/>
    <col min="8" max="8" width="16.26953125" style="14" bestFit="1" customWidth="1"/>
    <col min="9" max="9" width="15.7265625" style="14" bestFit="1" customWidth="1"/>
    <col min="10" max="10" width="9" style="14" bestFit="1" customWidth="1"/>
    <col min="11" max="16384" width="9.1796875" style="14"/>
  </cols>
  <sheetData>
    <row r="1" spans="1:10" x14ac:dyDescent="0.25">
      <c r="A1" s="11" t="s">
        <v>1044</v>
      </c>
      <c r="B1" s="12" t="s">
        <v>12</v>
      </c>
      <c r="C1" s="12" t="s">
        <v>1045</v>
      </c>
      <c r="D1" s="12" t="s">
        <v>1046</v>
      </c>
      <c r="E1" s="12" t="s">
        <v>1047</v>
      </c>
      <c r="F1" s="12" t="s">
        <v>1048</v>
      </c>
      <c r="G1" s="12" t="s">
        <v>1049</v>
      </c>
      <c r="H1" s="13" t="s">
        <v>1050</v>
      </c>
      <c r="I1" s="13" t="s">
        <v>1051</v>
      </c>
      <c r="J1" s="13" t="s">
        <v>17</v>
      </c>
    </row>
    <row r="2" spans="1:10" x14ac:dyDescent="0.25">
      <c r="A2" s="1">
        <v>1</v>
      </c>
      <c r="B2" s="2" t="s">
        <v>29</v>
      </c>
      <c r="C2" s="2">
        <v>5319</v>
      </c>
      <c r="D2" s="2">
        <f>C2*36</f>
        <v>191484</v>
      </c>
      <c r="E2" s="2">
        <v>47106</v>
      </c>
      <c r="F2" s="2">
        <v>35360</v>
      </c>
      <c r="G2" s="2">
        <v>10160</v>
      </c>
      <c r="H2" s="2">
        <f>D2+E2</f>
        <v>238590</v>
      </c>
      <c r="I2" s="2">
        <f>F2+G2</f>
        <v>45520</v>
      </c>
      <c r="J2" s="15">
        <f>H2-I2</f>
        <v>193070</v>
      </c>
    </row>
    <row r="3" spans="1:10" x14ac:dyDescent="0.25">
      <c r="A3" s="1">
        <v>2</v>
      </c>
      <c r="B3" s="2" t="s">
        <v>164</v>
      </c>
      <c r="C3" s="2">
        <v>4360</v>
      </c>
      <c r="D3" s="2">
        <f>C3*36</f>
        <v>156960</v>
      </c>
      <c r="E3" s="2">
        <v>185490</v>
      </c>
      <c r="F3" s="2">
        <v>30500</v>
      </c>
      <c r="G3" s="2">
        <v>21621</v>
      </c>
      <c r="H3" s="2">
        <f t="shared" ref="H3:H7" si="0">D3+E3</f>
        <v>342450</v>
      </c>
      <c r="I3" s="2">
        <f t="shared" ref="I3:I7" si="1">F3+G3</f>
        <v>52121</v>
      </c>
      <c r="J3" s="15">
        <f t="shared" ref="J3:J7" si="2">H3-I3</f>
        <v>290329</v>
      </c>
    </row>
    <row r="4" spans="1:10" x14ac:dyDescent="0.25">
      <c r="A4" s="1">
        <v>3</v>
      </c>
      <c r="B4" s="2" t="s">
        <v>1038</v>
      </c>
      <c r="C4" s="2">
        <v>4619</v>
      </c>
      <c r="D4" s="2">
        <v>166284</v>
      </c>
      <c r="E4" s="2">
        <v>41571</v>
      </c>
      <c r="F4" s="2">
        <v>50742</v>
      </c>
      <c r="G4" s="2">
        <v>12873</v>
      </c>
      <c r="H4" s="2">
        <f t="shared" si="0"/>
        <v>207855</v>
      </c>
      <c r="I4" s="2">
        <f t="shared" si="1"/>
        <v>63615</v>
      </c>
      <c r="J4" s="15">
        <f t="shared" si="2"/>
        <v>144240</v>
      </c>
    </row>
    <row r="5" spans="1:10" x14ac:dyDescent="0.25">
      <c r="A5" s="1">
        <v>4</v>
      </c>
      <c r="B5" s="2" t="s">
        <v>328</v>
      </c>
      <c r="C5" s="2">
        <v>4532</v>
      </c>
      <c r="D5" s="2">
        <v>163152</v>
      </c>
      <c r="E5" s="2">
        <v>40077</v>
      </c>
      <c r="F5" s="2">
        <v>58864</v>
      </c>
      <c r="G5" s="2">
        <v>25661</v>
      </c>
      <c r="H5" s="2">
        <f t="shared" si="0"/>
        <v>203229</v>
      </c>
      <c r="I5" s="2">
        <f t="shared" si="1"/>
        <v>84525</v>
      </c>
      <c r="J5" s="15">
        <f t="shared" si="2"/>
        <v>118704</v>
      </c>
    </row>
    <row r="6" spans="1:10" x14ac:dyDescent="0.25">
      <c r="A6" s="1">
        <v>5</v>
      </c>
      <c r="B6" s="2" t="s">
        <v>410</v>
      </c>
      <c r="C6" s="2">
        <v>1944</v>
      </c>
      <c r="D6" s="2">
        <v>69984</v>
      </c>
      <c r="E6" s="2">
        <v>17496</v>
      </c>
      <c r="F6" s="2">
        <v>15520</v>
      </c>
      <c r="G6" s="2">
        <v>17496</v>
      </c>
      <c r="H6" s="2">
        <f t="shared" si="0"/>
        <v>87480</v>
      </c>
      <c r="I6" s="2">
        <f t="shared" si="1"/>
        <v>33016</v>
      </c>
      <c r="J6" s="15">
        <f t="shared" si="2"/>
        <v>54464</v>
      </c>
    </row>
    <row r="7" spans="1:10" x14ac:dyDescent="0.25">
      <c r="A7" s="1"/>
      <c r="B7" s="2" t="s">
        <v>1052</v>
      </c>
      <c r="C7" s="2"/>
      <c r="D7" s="2">
        <f>SUM(D2:D6)</f>
        <v>747864</v>
      </c>
      <c r="E7" s="2">
        <f>SUM(E2:E6)</f>
        <v>331740</v>
      </c>
      <c r="F7" s="2">
        <f>SUM(F2:F6)</f>
        <v>190986</v>
      </c>
      <c r="G7" s="2">
        <f>SUM(G2:G6)</f>
        <v>87811</v>
      </c>
      <c r="H7" s="2">
        <f t="shared" si="0"/>
        <v>1079604</v>
      </c>
      <c r="I7" s="2">
        <f t="shared" si="1"/>
        <v>278797</v>
      </c>
      <c r="J7" s="15">
        <f t="shared" si="2"/>
        <v>800807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Pmt Lot-1 Int.+Sup</vt:lpstr>
      <vt:lpstr>Pmt Lot-2 Int.+Sup</vt:lpstr>
      <vt:lpstr>Interviewer</vt:lpstr>
      <vt:lpstr>Supervisor</vt:lpstr>
      <vt:lpstr>ZM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Parveen Sharma</dc:creator>
  <cp:keywords/>
  <dc:description/>
  <cp:lastModifiedBy>Milan Sharma</cp:lastModifiedBy>
  <cp:revision/>
  <dcterms:created xsi:type="dcterms:W3CDTF">2025-11-03T09:38:04Z</dcterms:created>
  <dcterms:modified xsi:type="dcterms:W3CDTF">2025-12-07T04:38:07Z</dcterms:modified>
  <cp:category/>
  <cp:contentStatus/>
</cp:coreProperties>
</file>